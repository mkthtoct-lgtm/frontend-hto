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20001_{E3B71542-EA4F-45FE-AA9F-37EA45EC38E5}" xr6:coauthVersionLast="47" xr6:coauthVersionMax="47" xr10:uidLastSave="{00000000-0000-0000-0000-000000000000}"/>
  <bookViews>
    <workbookView xWindow="-98" yWindow="-98" windowWidth="19396" windowHeight="10395" tabRatio="879" activeTab="1" xr2:uid="{00000000-000D-0000-FFFF-FFFF00000000}"/>
  </bookViews>
  <sheets>
    <sheet name="Dashboard" sheetId="1" r:id="rId1"/>
    <sheet name="01_Visa_Code_Master" sheetId="2" r:id="rId2"/>
    <sheet name="02_Checklist_Master" sheetId="3" r:id="rId3"/>
    <sheet name="03_Form_Master" sheetId="4" r:id="rId4"/>
    <sheet name="04_API_CRM_Mapping" sheetId="5" r:id="rId5"/>
    <sheet name="05_Doc_Groups" sheetId="6" r:id="rId6"/>
    <sheet name="06_Status_List" sheetId="7" r:id="rId7"/>
    <sheet name="07_Source_Index" sheetId="8" r:id="rId8"/>
    <sheet name="02_Visa_Price_Master" sheetId="9" r:id="rId9"/>
    <sheet name="00_Master_Sync" sheetId="10" r:id="rId10"/>
    <sheet name="08_Source_Index_Full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  <c r="B5" i="1"/>
  <c r="B4" i="1"/>
  <c r="B6" i="1" s="1"/>
</calcChain>
</file>

<file path=xl/sharedStrings.xml><?xml version="1.0" encoding="utf-8"?>
<sst xmlns="http://schemas.openxmlformats.org/spreadsheetml/2006/main" count="1459" uniqueCount="628">
  <si>
    <t>HTO VISA MASTER SYSTEM - FULL (CODE + PRICE + CHECKLIST)</t>
  </si>
  <si>
    <t>Chỉ số</t>
  </si>
  <si>
    <t>Giá trị</t>
  </si>
  <si>
    <t>Tổng mã visa</t>
  </si>
  <si>
    <t>Có giá trong bảng giá</t>
  </si>
  <si>
    <t>Chưa có giá</t>
  </si>
  <si>
    <t>Tổng giá NET</t>
  </si>
  <si>
    <t>Tổng giá đối tác</t>
  </si>
  <si>
    <t>Tổng giá khách lẻ</t>
  </si>
  <si>
    <t>Tổng LN đối tác</t>
  </si>
  <si>
    <t>Tổng LN khách lẻ</t>
  </si>
  <si>
    <t>Visa Code</t>
  </si>
  <si>
    <t>Quốc gia</t>
  </si>
  <si>
    <t>Nhóm visa</t>
  </si>
  <si>
    <t>Loại/Thời hạn</t>
  </si>
  <si>
    <t>Checklist Code</t>
  </si>
  <si>
    <t>Form Code</t>
  </si>
  <si>
    <t>Trạng thái</t>
  </si>
  <si>
    <t>Ghi chú</t>
  </si>
  <si>
    <t>KR-C39-TOUR-SGL-3M</t>
  </si>
  <si>
    <t>Hàn Quốc</t>
  </si>
  <si>
    <t>Du lịch</t>
  </si>
  <si>
    <t>Single 3 tháng</t>
  </si>
  <si>
    <t>CL-KR-001</t>
  </si>
  <si>
    <t>FM-KR-001</t>
  </si>
  <si>
    <t>Active</t>
  </si>
  <si>
    <t>VSSID, BHXH, sao y 3 tháng, STK 120tr nếu có</t>
  </si>
  <si>
    <t>KR-C39-TOUR-MUL-5Y</t>
  </si>
  <si>
    <t>Multiple 5 năm</t>
  </si>
  <si>
    <t>CL-KR-002</t>
  </si>
  <si>
    <t>Điều kiện theo lịch sử đi Hàn/tài chính/công việc</t>
  </si>
  <si>
    <t>CN-L-TOUR-SGL</t>
  </si>
  <si>
    <t>Trung Quốc</t>
  </si>
  <si>
    <t>L single</t>
  </si>
  <si>
    <t>CL-CN-001</t>
  </si>
  <si>
    <t>FM-CN-001</t>
  </si>
  <si>
    <t>CT07/CT08, STK trên 50tr, lấy vân tay nếu áp dụng</t>
  </si>
  <si>
    <t>CN-M-BIZ-SGL</t>
  </si>
  <si>
    <t>Công tác</t>
  </si>
  <si>
    <t>M business</t>
  </si>
  <si>
    <t>CL-CN-002</t>
  </si>
  <si>
    <t>Thư mời, ĐKKD TQ, quyết định cử đi công tác</t>
  </si>
  <si>
    <t>JP-TOUR-SGL</t>
  </si>
  <si>
    <t>Nhật Bản</t>
  </si>
  <si>
    <t>Single</t>
  </si>
  <si>
    <t>CL-JP-001</t>
  </si>
  <si>
    <t>FM-JP-001</t>
  </si>
  <si>
    <t>XNSD 14 ngày, STK 120tr</t>
  </si>
  <si>
    <t>JP-TOUR-MUL</t>
  </si>
  <si>
    <t>Multiple 1/3 năm</t>
  </si>
  <si>
    <t>CL-JP-002</t>
  </si>
  <si>
    <t>FM-JP-002</t>
  </si>
  <si>
    <t>Khách ký đơn multi, lãnh sự có thể cấp single</t>
  </si>
  <si>
    <t>JP-VISIT-FAMILY</t>
  </si>
  <si>
    <t>Thăm thân</t>
  </si>
  <si>
    <t>Thăm thân/bạn bè</t>
  </si>
  <si>
    <t>CL-JP-003</t>
  </si>
  <si>
    <t>Chứng minh quan hệ, thư mời/bảo lãnh từ Nhật</t>
  </si>
  <si>
    <t>TW-TOUR-STANDARD</t>
  </si>
  <si>
    <t>Đài Loan</t>
  </si>
  <si>
    <t>Thường</t>
  </si>
  <si>
    <t>CL-TW-001</t>
  </si>
  <si>
    <t>FM-TW-001</t>
  </si>
  <si>
    <t>Tờ khai ký, STK 100tr, lưu ý nơi sinh/hộ khẩu</t>
  </si>
  <si>
    <t>TW-BIZ-STANDARD</t>
  </si>
  <si>
    <t>CL-TW-002</t>
  </si>
  <si>
    <t>Thư mời/giấy tờ công tác nếu có</t>
  </si>
  <si>
    <t>HK-EVISA-TOUR</t>
  </si>
  <si>
    <t>Hong Kong</t>
  </si>
  <si>
    <t>eVisa</t>
  </si>
  <si>
    <t>CL-HK-001</t>
  </si>
  <si>
    <t>FM-HK-001</t>
  </si>
  <si>
    <t>Hồ sơ scan, sao kê 3 tháng, STK từ 60tr nếu có</t>
  </si>
  <si>
    <t>HK-EVISA-BIZ</t>
  </si>
  <si>
    <t>Thương mại</t>
  </si>
  <si>
    <t>CL-HK-002</t>
  </si>
  <si>
    <t>Hồ sơ thương mại/đối tác nếu phát sinh</t>
  </si>
  <si>
    <t>HK-EVISA-TRANSIT</t>
  </si>
  <si>
    <t>Quá cảnh</t>
  </si>
  <si>
    <t>CL-HK-003</t>
  </si>
  <si>
    <t>Điểm đến tiếp theo, lịch trình quá cảnh</t>
  </si>
  <si>
    <t>SCH-TOUR-SGL</t>
  </si>
  <si>
    <t>Schengen</t>
  </si>
  <si>
    <t>Short stay</t>
  </si>
  <si>
    <t>CL-SCH-001</t>
  </si>
  <si>
    <t>FM-EUUK-001</t>
  </si>
  <si>
    <t>Gửi giấy tờ gốc, STK 200-300tr/người</t>
  </si>
  <si>
    <t>SCH-VISIT-FAMILY</t>
  </si>
  <si>
    <t>CL-SCH-002</t>
  </si>
  <si>
    <t>Thư mời, hộ chiếu/ngụ cư người mời, chứng minh quan hệ</t>
  </si>
  <si>
    <t>SCH-BIZ-SGL</t>
  </si>
  <si>
    <t>CL-SCH-003</t>
  </si>
  <si>
    <t>Thư mời, vé tham dự, lịch trình</t>
  </si>
  <si>
    <t>CA-TRV-TOUR</t>
  </si>
  <si>
    <t>Canada</t>
  </si>
  <si>
    <t>Visitor/TRV</t>
  </si>
  <si>
    <t>CL-CA-001</t>
  </si>
  <si>
    <t>FM-CA-001</t>
  </si>
  <si>
    <t>Scan màu bản gốc, CT07/CT08 đủ thành viên, STK 300tr</t>
  </si>
  <si>
    <t>AU-600-TOUR</t>
  </si>
  <si>
    <t>Úc</t>
  </si>
  <si>
    <t>Visitor 600</t>
  </si>
  <si>
    <t>CL-AU-001</t>
  </si>
  <si>
    <t>FM-AU-001</t>
  </si>
  <si>
    <t>Scan màu bản gốc, dịch thuật tiếng Anh, STK 300tr</t>
  </si>
  <si>
    <t>AU-600-VISIT-FAMILY</t>
  </si>
  <si>
    <t>CL-AU-002</t>
  </si>
  <si>
    <t>Thư mời, giấy tờ người mời, chứng minh quan hệ</t>
  </si>
  <si>
    <t>AU-600-BIZ</t>
  </si>
  <si>
    <t>CL-AU-003</t>
  </si>
  <si>
    <t>Thư mời, lịch trình, chứng minh công tác</t>
  </si>
  <si>
    <t>UK-STANDARD-VISITOR-6M</t>
  </si>
  <si>
    <t>UK</t>
  </si>
  <si>
    <t>Standard Visitor 6 tháng</t>
  </si>
  <si>
    <t>CL-UK-001</t>
  </si>
  <si>
    <t>US-B1B2-TOUR-BIZ</t>
  </si>
  <si>
    <t>Mỹ</t>
  </si>
  <si>
    <t>Du lịch/Công tác</t>
  </si>
  <si>
    <t>B1/B2</t>
  </si>
  <si>
    <t>CL-US-001</t>
  </si>
  <si>
    <t>FM-US-DS160</t>
  </si>
  <si>
    <t>DS-160, ảnh 5x5, phỏng vấn trung thực</t>
  </si>
  <si>
    <t>US-B1B2-RENEWAL</t>
  </si>
  <si>
    <t>Gia hạn</t>
  </si>
  <si>
    <t>B1/B2 renewal</t>
  </si>
  <si>
    <t>CL-US-002</t>
  </si>
  <si>
    <t>Need Verify</t>
  </si>
  <si>
    <t>Cần kiểm tra điều kiện gia hạn từng thời điểm</t>
  </si>
  <si>
    <t>NZ-VISITOR-TOUR</t>
  </si>
  <si>
    <t>New Zealand</t>
  </si>
  <si>
    <t>Visitor</t>
  </si>
  <si>
    <t>CL-NZ-001</t>
  </si>
  <si>
    <t>FM-NZ-001</t>
  </si>
  <si>
    <t>Nộp theo đơn, form 1224, thân nhân, STK 5.000 USD</t>
  </si>
  <si>
    <t>NZ-VISITOR-GROUP</t>
  </si>
  <si>
    <t>Gia đình/nhóm</t>
  </si>
  <si>
    <t>Visitor group</t>
  </si>
  <si>
    <t>CL-NZ-002</t>
  </si>
  <si>
    <t>Một đơn gồm vợ/chồng/con dưới 18 tuổi</t>
  </si>
  <si>
    <t>ID-VISITOR-TOUR</t>
  </si>
  <si>
    <t>Indonesia</t>
  </si>
  <si>
    <t>Visitor/eVisa</t>
  </si>
  <si>
    <t>CL-ID-001</t>
  </si>
  <si>
    <t>FM-ID-001</t>
  </si>
  <si>
    <t>Need Checklist</t>
  </si>
  <si>
    <t>Drive hiện chỉ có phiếu thông tin khách hàng</t>
  </si>
  <si>
    <t>IN-VISITOR-TOUR</t>
  </si>
  <si>
    <t>Ấn Độ</t>
  </si>
  <si>
    <t>CL-IN-001</t>
  </si>
  <si>
    <t>FM-IN-001</t>
  </si>
  <si>
    <t>Loại visa</t>
  </si>
  <si>
    <t>Hồ sơ nhân thân</t>
  </si>
  <si>
    <t>Hồ sơ công việc</t>
  </si>
  <si>
    <t>Hồ sơ tài chính</t>
  </si>
  <si>
    <t>Hồ sơ chuyến đi</t>
  </si>
  <si>
    <t>Lưu ý đặc thù</t>
  </si>
  <si>
    <t>Du lịch single</t>
  </si>
  <si>
    <t>Hộ chiếu, HC cũ, CCCD, ảnh 3.5x4.5, ĐKKH nếu có</t>
  </si>
  <si>
    <t>NV: xác nhận NV, sao kê lương 6T, VSSID; CĐN: ĐKKD, thuế; Hưu trí; HS/SV</t>
  </si>
  <si>
    <t>STK tối thiểu 120tr/người nếu có, XNSD, tài sản, ô tô</t>
  </si>
  <si>
    <t>Lịch trình/booking nếu cần</t>
  </si>
  <si>
    <t>Sao y 3 tháng, photo 1 mặt A4, không cắt nhỏ</t>
  </si>
  <si>
    <t>Hộ chiếu gốc, CCCD sao y, ảnh 4x6, hộ khẩu/CT07/CT08</t>
  </si>
  <si>
    <t>Theo từng hồ sơ nếu yêu cầu</t>
  </si>
  <si>
    <t>XNSD STK trên 50tr bản gốc</t>
  </si>
  <si>
    <t>Mục đích/lịch trình nếu cần</t>
  </si>
  <si>
    <t>Địa chỉ XNSD khớp CCCD/CT07; xét 8-12 ngày làm việc</t>
  </si>
  <si>
    <t>Hộ chiếu gốc, HC cũ, ảnh 3.5x4.5, CCCD, hộ khẩu/CT07</t>
  </si>
  <si>
    <t>NV: HĐLĐ, nghỉ phép, sao kê lương; CĐN: GPKD, thuế, sao kê CTY</t>
  </si>
  <si>
    <t>XNSD 14 ngày, STK tối thiểu 120tr, nhà đất/ô tô nếu có</t>
  </si>
  <si>
    <t>Photo giấy A4, bản gốc khi lãnh sự yêu cầu</t>
  </si>
  <si>
    <t>Hộ chiếu, HC cũ, ảnh 4x6, CCCD sao y, ĐKKH, khai sinh trẻ em, tờ khai ký</t>
  </si>
  <si>
    <t>CĐN/HKD/Công chức/NV/Hưu trí theo nhóm</t>
  </si>
  <si>
    <t>XNSD bản gốc 14 ngày, STK tối thiểu 100tr, nhà đất/ô tô bản gốc nếu có</t>
  </si>
  <si>
    <t>Lưu ý nơi sinh từ Đà Nẵng trở vào Nam/hộ khẩu/CT07</t>
  </si>
  <si>
    <t>eVisa du lịch</t>
  </si>
  <si>
    <t>Scan HC, ảnh 4x6, CCCD, CT07/CT08, ĐKKH, nhà đất/xe nếu có</t>
  </si>
  <si>
    <t>NV/CĐN/Hưu/SV/Tự do theo nhóm; song ngữ nếu cần</t>
  </si>
  <si>
    <t>Sao kê 3T, STK từ 60tr nếu có + XNSD song ngữ</t>
  </si>
  <si>
    <t>Lịch trình, ảnh du lịch tối thiểu 3 ảnh nếu đi nhóm</t>
  </si>
  <si>
    <t>Hồ sơ scan; dưới 18 tuổi cần ủy quyền nếu ba/mẹ không đi cùng</t>
  </si>
  <si>
    <t>CCCD, hộ khẩu/CT07, HC mới+cũ, hôn nhân, khai sinh trẻ em, ảnh 3.5x4.5</t>
  </si>
  <si>
    <t>CĐN, lao động HĐ, tự do, hưu, HS/SV theo nhóm</t>
  </si>
  <si>
    <t>STK + XNSD 200-300tr/người, nhà đất/ô tô/bảo hiểm nếu có</t>
  </si>
  <si>
    <t>Lịch trình, booking, bảo hiểm theo yêu cầu</t>
  </si>
  <si>
    <t>Gửi giấy tờ gốc tại công ty; không tác động STK sau nộp</t>
  </si>
  <si>
    <t>CCCD, khai sinh, CT07/CT08 đủ thành viên, HC mới+cũ, ảnh, hôn nhân, visa rời</t>
  </si>
  <si>
    <t>CĐN/NV/tự do/hưu/HS-SV theo nhóm</t>
  </si>
  <si>
    <t>STK mở 6T + XNSD song ngữ, tối thiểu 300tr/người, nhà đất nếu có</t>
  </si>
  <si>
    <t>Lịch trình, mục đích chuyến đi</t>
  </si>
  <si>
    <t>Bản gốc + scan màu, dịch thuật tiếng Anh</t>
  </si>
  <si>
    <t>Lịch trình, booking, thư mời nếu thăm thân</t>
  </si>
  <si>
    <t>Bản gốc + scan màu; dịch tiếng Anh; hồ sơ logic ràng buộc VN</t>
  </si>
  <si>
    <t>Ảnh 5x5 nền trắng, scan hộ chiếu, hình CCCD</t>
  </si>
  <si>
    <t>Khai DS-160 về công việc, học tập, lịch sử cá nhân</t>
  </si>
  <si>
    <t>Có thể chuẩn bị sao kê/STK/tài sản nếu cần giải trình</t>
  </si>
  <si>
    <t>Mục đích chuyến đi, lịch sử du lịch, thân nhân</t>
  </si>
  <si>
    <t>Điền đơn trung thực, thống nhất khi phỏng vấn</t>
  </si>
  <si>
    <t>Du lịch tự CMTC</t>
  </si>
  <si>
    <t>HC gốc/scan màu, ảnh 4x6, ĐKKH, CT07/CT08, CCCD, SYLL, phiếu thông tin, tờ khai thân nhân, form 1224</t>
  </si>
  <si>
    <t>CĐN/NV/Hưu/HS-SV theo nhóm</t>
  </si>
  <si>
    <t>XNSD hoặc STK ít nhất 5.000 USD (&gt;120tr), xe, nhà đất, bảo hiểm, thẻ tín dụng nếu có</t>
  </si>
  <si>
    <t>Lịch trình/tour nếu có</t>
  </si>
  <si>
    <t>Nộp theo đơn; sao y công chứng trong 6 tháng; A4</t>
  </si>
  <si>
    <t>Tên form</t>
  </si>
  <si>
    <t>Áp dụng cho Visa Code</t>
  </si>
  <si>
    <t>Người thực hiện</t>
  </si>
  <si>
    <t>Hình thức</t>
  </si>
  <si>
    <t>Korea - Thông tin khai visa</t>
  </si>
  <si>
    <t>KR-C39-TOUR-SGL-3M; KR-C39-TOUR-MUL-5Y</t>
  </si>
  <si>
    <t>Khách/HTO</t>
  </si>
  <si>
    <t>Doc/Form</t>
  </si>
  <si>
    <t>Dùng cho hồ sơ Hàn</t>
  </si>
  <si>
    <t>Form khai thông tin du lịch Trung Quốc</t>
  </si>
  <si>
    <t>CN-L-TOUR-SGL; CN-M-BIZ-SGL</t>
  </si>
  <si>
    <t>Địa chỉ phải thống nhất CCCD/CT07</t>
  </si>
  <si>
    <t>Form khai visa Nhật</t>
  </si>
  <si>
    <t>JP-TOUR-SGL; JP-VISIT-FAMILY</t>
  </si>
  <si>
    <t>Kèm giấy khách ký</t>
  </si>
  <si>
    <t>Đơn xin visa Nhật multiple</t>
  </si>
  <si>
    <t>Khách ký</t>
  </si>
  <si>
    <t>PDF</t>
  </si>
  <si>
    <t>Lãnh sự có thể cấp single dù xin multi</t>
  </si>
  <si>
    <t>Form khai thông tin Đài Loan</t>
  </si>
  <si>
    <t>TW-TOUR-STANDARD; TW-BIZ-STANDARD</t>
  </si>
  <si>
    <t>Khách ký trang cuối tờ khai</t>
  </si>
  <si>
    <t>Form khai Hong Kong</t>
  </si>
  <si>
    <t>HK-EVISA-TOUR; HK-EVISA-BIZ; HK-EVISA-TRANSIT</t>
  </si>
  <si>
    <t>Hồ sơ dạng scan</t>
  </si>
  <si>
    <t>Phiếu thông tin EU &amp; UK</t>
  </si>
  <si>
    <t>SCH-TOUR-SGL; SCH-VISIT-FAMILY; SCH-BIZ-SGL; UK-STANDARD-VISITOR-6M</t>
  </si>
  <si>
    <t>Dùng cho EU/UK</t>
  </si>
  <si>
    <t>Phiếu thông tin khách hàng Canada</t>
  </si>
  <si>
    <t>Bản scan màu</t>
  </si>
  <si>
    <t>Khai thông tin Úc + tờ khai thân nhân</t>
  </si>
  <si>
    <t>AU-600-TOUR; AU-600-VISIT-FAMILY; AU-600-BIZ</t>
  </si>
  <si>
    <t>Dịch tiếng Anh</t>
  </si>
  <si>
    <t>DS-160</t>
  </si>
  <si>
    <t>US-B1B2-TOUR-BIZ; US-B1B2-RENEWAL</t>
  </si>
  <si>
    <t>HTO khai theo thông tin khách</t>
  </si>
  <si>
    <t>Online</t>
  </si>
  <si>
    <t>Khách cung cấp thông tin trung thực</t>
  </si>
  <si>
    <t>Phiếu thông tin NZ + tờ khai thân nhân + Form 1224</t>
  </si>
  <si>
    <t>NZ-VISITOR-TOUR; NZ-VISITOR-GROUP</t>
  </si>
  <si>
    <t>Doc/PDF</t>
  </si>
  <si>
    <t>Form 1224 chỉ ký tên</t>
  </si>
  <si>
    <t>Phiếu thông tin khách hàng Indonesia</t>
  </si>
  <si>
    <t>Cần bổ sung checklist chính thức</t>
  </si>
  <si>
    <t>Phiếu thông tin khách hàng Ấn Độ</t>
  </si>
  <si>
    <t>Field API</t>
  </si>
  <si>
    <t>Tên tiếng Việt</t>
  </si>
  <si>
    <t>Bắt buộc</t>
  </si>
  <si>
    <t>Kiểu dữ liệu</t>
  </si>
  <si>
    <t>visa_code</t>
  </si>
  <si>
    <t>Mã visa</t>
  </si>
  <si>
    <t>Có</t>
  </si>
  <si>
    <t>Text</t>
  </si>
  <si>
    <t>Khóa chính nối bảng giá/checklist/form</t>
  </si>
  <si>
    <t>country</t>
  </si>
  <si>
    <t>visa_purpose</t>
  </si>
  <si>
    <t>Mục đích visa</t>
  </si>
  <si>
    <t>Dropdown</t>
  </si>
  <si>
    <t>Du lịch/Thăm thân/Công tác/Gia hạn</t>
  </si>
  <si>
    <t>applicant_name</t>
  </si>
  <si>
    <t>Họ tên khách</t>
  </si>
  <si>
    <t>passport_number</t>
  </si>
  <si>
    <t>Số hộ chiếu</t>
  </si>
  <si>
    <t>checklist_code</t>
  </si>
  <si>
    <t>Mã checklist</t>
  </si>
  <si>
    <t>Mapping sang Checklist Master</t>
  </si>
  <si>
    <t>price_code</t>
  </si>
  <si>
    <t>Mã bảng giá</t>
  </si>
  <si>
    <t>Không</t>
  </si>
  <si>
    <t>Mapping sang bảng giá</t>
  </si>
  <si>
    <t>form_code</t>
  </si>
  <si>
    <t>Mã form</t>
  </si>
  <si>
    <t>Mapping sang Form Master</t>
  </si>
  <si>
    <t>application_status</t>
  </si>
  <si>
    <t>Trạng thái hồ sơ</t>
  </si>
  <si>
    <t>Mới tạo/Đang kiểm/Chờ bổ sung/Đã nộp/Đậu/Từ chối/Đóng</t>
  </si>
  <si>
    <t>document_status</t>
  </si>
  <si>
    <t>Tình trạng giấy tờ</t>
  </si>
  <si>
    <t>Thiếu/Đủ/Cần bổ sung/Đã duyệt</t>
  </si>
  <si>
    <t>risk_level</t>
  </si>
  <si>
    <t>Mức rủi ro</t>
  </si>
  <si>
    <t>Xanh/Vàng/Đỏ</t>
  </si>
  <si>
    <t>source_url</t>
  </si>
  <si>
    <t>Nguồn tài liệu</t>
  </si>
  <si>
    <t>URL</t>
  </si>
  <si>
    <t>Link Google Drive hoặc file gốc</t>
  </si>
  <si>
    <t>Doc Group Code</t>
  </si>
  <si>
    <t>Nhóm hồ sơ</t>
  </si>
  <si>
    <t>Mô tả</t>
  </si>
  <si>
    <t>PERSONAL</t>
  </si>
  <si>
    <t>Hộ chiếu, CCCD, ảnh, khai sinh, hôn nhân, CT07/CT08</t>
  </si>
  <si>
    <t>WORK</t>
  </si>
  <si>
    <t>HĐLĐ, xác nhận việc làm, ĐKKD, thuế, sao kê lương, VssID</t>
  </si>
  <si>
    <t>FINANCE</t>
  </si>
  <si>
    <t>STK, XNSD, sao kê, nhà đất, ô tô, bảo hiểm, cổ phiếu</t>
  </si>
  <si>
    <t>TRIP</t>
  </si>
  <si>
    <t>Lịch trình, booking, bảo hiểm, thư mời, vé tham dự</t>
  </si>
  <si>
    <t>INVITER</t>
  </si>
  <si>
    <t>Người mời/bảo lãnh</t>
  </si>
  <si>
    <t>Thư mời, hộ chiếu, giấy tờ cư trú, chứng minh quan hệ</t>
  </si>
  <si>
    <t>MINOR</t>
  </si>
  <si>
    <t>Trẻ em dưới 18 tuổi</t>
  </si>
  <si>
    <t>Khai sinh, giấy ủy quyền, giấy cam kết đi cùng con</t>
  </si>
  <si>
    <t>FORM</t>
  </si>
  <si>
    <t>Form khai thông tin</t>
  </si>
  <si>
    <t>DS-160, form online, tờ khai thân nhân, đơn multi</t>
  </si>
  <si>
    <t>OPS</t>
  </si>
  <si>
    <t>Lưu ý nghiệp vụ</t>
  </si>
  <si>
    <t>Bản gốc/scan/sao y, thời hạn XNSD, khổ giấy A4, dịch thuật</t>
  </si>
  <si>
    <t>Status</t>
  </si>
  <si>
    <t>Ý nghĩa</t>
  </si>
  <si>
    <t>Đang sử dụng</t>
  </si>
  <si>
    <t>Cần kiểm tra điều kiện hiện hành</t>
  </si>
  <si>
    <t>Inactive</t>
  </si>
  <si>
    <t>Tạm ngưng</t>
  </si>
  <si>
    <t>Draft</t>
  </si>
  <si>
    <t>Đang soạn</t>
  </si>
  <si>
    <t>Nhóm</t>
  </si>
  <si>
    <t>Tên tài liệu gốc</t>
  </si>
  <si>
    <t>Nguồn/Ghi chú</t>
  </si>
  <si>
    <t>Các diện visa HQ</t>
  </si>
  <si>
    <t>Google Drive</t>
  </si>
  <si>
    <t>Các diện visa Trung Quốc</t>
  </si>
  <si>
    <t>Các dạng visa Nhật Bản</t>
  </si>
  <si>
    <t>Danh mục xin visa du lịch Đài Loan</t>
  </si>
  <si>
    <t>Danh mục hồ sơ eVisa Hong Kong</t>
  </si>
  <si>
    <t>Danh mục hồ sơ du lịch Schengen</t>
  </si>
  <si>
    <t>Canada/Úc/UK</t>
  </si>
  <si>
    <t>Danh mục hồ sơ du lịch Úc Canada UK</t>
  </si>
  <si>
    <t>Danh mục hồ sơ du lịch Mỹ</t>
  </si>
  <si>
    <t>Danh mục hồ sơ xin visa New Zealand</t>
  </si>
  <si>
    <t>Phiếu thông tin khách hàng</t>
  </si>
  <si>
    <t>Google Drive - cần bổ sung checklist</t>
  </si>
  <si>
    <t>STT</t>
  </si>
  <si>
    <t>Mã ngắn</t>
  </si>
  <si>
    <t>Sản phẩm</t>
  </si>
  <si>
    <t>Mục đích</t>
  </si>
  <si>
    <t>Loại nhập cảnh</t>
  </si>
  <si>
    <t>Thời hạn/Ghi chú</t>
  </si>
  <si>
    <t>Khu vực nộp</t>
  </si>
  <si>
    <t>Tổng giá NET (VND)</t>
  </si>
  <si>
    <t>Net USD</t>
  </si>
  <si>
    <t>Giá đối tác USD</t>
  </si>
  <si>
    <t>Giá đối tác VND</t>
  </si>
  <si>
    <t>LN đối tác USD</t>
  </si>
  <si>
    <t>LN đối tác VND</t>
  </si>
  <si>
    <t>Giá khách lẻ USD</t>
  </si>
  <si>
    <t>Giá khách lẻ VND</t>
  </si>
  <si>
    <t>LN khách lẻ USD</t>
  </si>
  <si>
    <t>LN khách lẻ VND</t>
  </si>
  <si>
    <t>Nguồn</t>
  </si>
  <si>
    <t>CA-TRV-TOUR-SGL</t>
  </si>
  <si>
    <t>VIS-CA-01</t>
  </si>
  <si>
    <t>Du lịch/Thăm thân</t>
  </si>
  <si>
    <t>TRV/Single</t>
  </si>
  <si>
    <t>5112500</t>
  </si>
  <si>
    <t>189.35</t>
  </si>
  <si>
    <t>230</t>
  </si>
  <si>
    <t>6210000</t>
  </si>
  <si>
    <t>40.65</t>
  </si>
  <si>
    <t>1097500</t>
  </si>
  <si>
    <t>300</t>
  </si>
  <si>
    <t>8100000</t>
  </si>
  <si>
    <t>110.65</t>
  </si>
  <si>
    <t>2987500</t>
  </si>
  <si>
    <t>Đang mở</t>
  </si>
  <si>
    <t>Google Sheet: Bảng chi phí hợp tác với SGT - Báo giá sản phẩm visa Du lịch</t>
  </si>
  <si>
    <t>CA-TRV-CHILD-U14-WITH-PARENTS</t>
  </si>
  <si>
    <t>VIS-CA-02</t>
  </si>
  <si>
    <t>Canada (trẻ em dưới 14t) đi cùng bố mẹ</t>
  </si>
  <si>
    <t>TRV/Child</t>
  </si>
  <si>
    <t>Dưới 14 tuổi đi cùng bố mẹ</t>
  </si>
  <si>
    <t>3155000</t>
  </si>
  <si>
    <t>116.85</t>
  </si>
  <si>
    <t>145</t>
  </si>
  <si>
    <t>3915000</t>
  </si>
  <si>
    <t>28.15</t>
  </si>
  <si>
    <t>760000</t>
  </si>
  <si>
    <t>170</t>
  </si>
  <si>
    <t>4590000</t>
  </si>
  <si>
    <t>53.15</t>
  </si>
  <si>
    <t>1435000</t>
  </si>
  <si>
    <t>Google Sheet</t>
  </si>
  <si>
    <t>CA-TRV-CHILD-U14-SEPARATE</t>
  </si>
  <si>
    <t>VIS-CA-03</t>
  </si>
  <si>
    <t>Canada (trẻ em dưới 14t) nộp riêng</t>
  </si>
  <si>
    <t>Dưới 14 tuổi nộp riêng</t>
  </si>
  <si>
    <t>3755000</t>
  </si>
  <si>
    <t>139.07</t>
  </si>
  <si>
    <t>200</t>
  </si>
  <si>
    <t>5400000</t>
  </si>
  <si>
    <t>60.93</t>
  </si>
  <si>
    <t>1645000</t>
  </si>
  <si>
    <t>90.93</t>
  </si>
  <si>
    <t>2455000</t>
  </si>
  <si>
    <t>VIS-US-01</t>
  </si>
  <si>
    <t>5665000</t>
  </si>
  <si>
    <t>209.81</t>
  </si>
  <si>
    <t>250</t>
  </si>
  <si>
    <t>6750000</t>
  </si>
  <si>
    <t>40.19</t>
  </si>
  <si>
    <t>1085000</t>
  </si>
  <si>
    <t>90.19</t>
  </si>
  <si>
    <t>2435000</t>
  </si>
  <si>
    <t>VIS-US-02</t>
  </si>
  <si>
    <t>Mỹ gia hạn visa</t>
  </si>
  <si>
    <t>B1/B2 Renewal</t>
  </si>
  <si>
    <t>5990000</t>
  </si>
  <si>
    <t>221.85</t>
  </si>
  <si>
    <t>260</t>
  </si>
  <si>
    <t>7020000</t>
  </si>
  <si>
    <t>38.15</t>
  </si>
  <si>
    <t>1030000</t>
  </si>
  <si>
    <t>78.15</t>
  </si>
  <si>
    <t>2110000</t>
  </si>
  <si>
    <t>VIS-SCH-01</t>
  </si>
  <si>
    <t>Du lịch/Thăm thân/Công tác</t>
  </si>
  <si>
    <t>5234160</t>
  </si>
  <si>
    <t>193.86</t>
  </si>
  <si>
    <t>56.14</t>
  </si>
  <si>
    <t>1515840</t>
  </si>
  <si>
    <t>270</t>
  </si>
  <si>
    <t>7290000</t>
  </si>
  <si>
    <t>76.14</t>
  </si>
  <si>
    <t>2055840</t>
  </si>
  <si>
    <t>AU-600-TOUR-VISIT</t>
  </si>
  <si>
    <t>VIS-AU-01</t>
  </si>
  <si>
    <t>Subclass 600</t>
  </si>
  <si>
    <t>5543800</t>
  </si>
  <si>
    <t>205.33</t>
  </si>
  <si>
    <t>240</t>
  </si>
  <si>
    <t>6480000</t>
  </si>
  <si>
    <t>34.67</t>
  </si>
  <si>
    <t>936200</t>
  </si>
  <si>
    <t>280</t>
  </si>
  <si>
    <t>7560000</t>
  </si>
  <si>
    <t>74.67</t>
  </si>
  <si>
    <t>2016200</t>
  </si>
  <si>
    <t>VIS-NZ-01</t>
  </si>
  <si>
    <t>8300500</t>
  </si>
  <si>
    <t>307.43</t>
  </si>
  <si>
    <t>340</t>
  </si>
  <si>
    <t>9180000</t>
  </si>
  <si>
    <t>32.57</t>
  </si>
  <si>
    <t>879500</t>
  </si>
  <si>
    <t>380</t>
  </si>
  <si>
    <t>10260000</t>
  </si>
  <si>
    <t>72.57</t>
  </si>
  <si>
    <t>1959500</t>
  </si>
  <si>
    <t>VIS-UK-01</t>
  </si>
  <si>
    <t>UK (6 tháng)</t>
  </si>
  <si>
    <t>Standard Visitor</t>
  </si>
  <si>
    <t>6 tháng</t>
  </si>
  <si>
    <t>9872000</t>
  </si>
  <si>
    <t>365.63</t>
  </si>
  <si>
    <t>400</t>
  </si>
  <si>
    <t>10800000</t>
  </si>
  <si>
    <t>34.37</t>
  </si>
  <si>
    <t>928000</t>
  </si>
  <si>
    <t>450</t>
  </si>
  <si>
    <t>12150000</t>
  </si>
  <si>
    <t>84.37</t>
  </si>
  <si>
    <t>2278000</t>
  </si>
  <si>
    <t>KR-C31-TOUR-SGL-3M-SOUTH</t>
  </si>
  <si>
    <t>VIS-KR-01</t>
  </si>
  <si>
    <t>Hàn (miền Nam) 3 tháng Single</t>
  </si>
  <si>
    <t>C-3-1 Single</t>
  </si>
  <si>
    <t>3 tháng</t>
  </si>
  <si>
    <t>Miền Nam</t>
  </si>
  <si>
    <t>1502000</t>
  </si>
  <si>
    <t>55.63</t>
  </si>
  <si>
    <t>75</t>
  </si>
  <si>
    <t>1987500</t>
  </si>
  <si>
    <t>19.37</t>
  </si>
  <si>
    <t>523000</t>
  </si>
  <si>
    <t>120</t>
  </si>
  <si>
    <t>3180000</t>
  </si>
  <si>
    <t>64.37</t>
  </si>
  <si>
    <t>1738000</t>
  </si>
  <si>
    <t>KR-F15-FAMILY-VISIT-SGL</t>
  </si>
  <si>
    <t>VIS-KR-02</t>
  </si>
  <si>
    <t>Hàn thăm thân F1-5</t>
  </si>
  <si>
    <t>F-1-5 Single</t>
  </si>
  <si>
    <t>1767000</t>
  </si>
  <si>
    <t>65.44</t>
  </si>
  <si>
    <t>85</t>
  </si>
  <si>
    <t>2252500</t>
  </si>
  <si>
    <t>19.56</t>
  </si>
  <si>
    <t>528000</t>
  </si>
  <si>
    <t>130</t>
  </si>
  <si>
    <t>3445000</t>
  </si>
  <si>
    <t>64.56</t>
  </si>
  <si>
    <t>1743000</t>
  </si>
  <si>
    <t>KR-C31-TOUR-MUL-5Y-SOUTH</t>
  </si>
  <si>
    <t>VIS-KR-03</t>
  </si>
  <si>
    <t>Hàn (miền Nam) 5 năm Multiple</t>
  </si>
  <si>
    <t>C-3-1 Multiple</t>
  </si>
  <si>
    <t>5 năm</t>
  </si>
  <si>
    <t>3092000</t>
  </si>
  <si>
    <t>114.52</t>
  </si>
  <si>
    <t>160</t>
  </si>
  <si>
    <t>4240000</t>
  </si>
  <si>
    <t>45.48</t>
  </si>
  <si>
    <t>1228000</t>
  </si>
  <si>
    <t>5300000</t>
  </si>
  <si>
    <t>85.48</t>
  </si>
  <si>
    <t>2308000</t>
  </si>
  <si>
    <t>KR-C31-TOUR-MUL-10Y-SOUTH</t>
  </si>
  <si>
    <t>VIS-KR-04</t>
  </si>
  <si>
    <t>Hàn (miền Nam) 10 Năm Multiple</t>
  </si>
  <si>
    <t>10 năm</t>
  </si>
  <si>
    <t>3592000</t>
  </si>
  <si>
    <t>133.04</t>
  </si>
  <si>
    <t>180</t>
  </si>
  <si>
    <t>4770000</t>
  </si>
  <si>
    <t>46.96</t>
  </si>
  <si>
    <t>1268000</t>
  </si>
  <si>
    <t>6360000</t>
  </si>
  <si>
    <t>106.96</t>
  </si>
  <si>
    <t>2888000</t>
  </si>
  <si>
    <t>KR-C31-TOUR-SGL-3M-NORTH</t>
  </si>
  <si>
    <t>VIS-KR-05</t>
  </si>
  <si>
    <t>Hàn (miền Bắc) 3 tháng Single</t>
  </si>
  <si>
    <t>Miền Bắc</t>
  </si>
  <si>
    <t>1795000</t>
  </si>
  <si>
    <t>66.48</t>
  </si>
  <si>
    <t>18.52</t>
  </si>
  <si>
    <t>500000</t>
  </si>
  <si>
    <t>3510000</t>
  </si>
  <si>
    <t>63.52</t>
  </si>
  <si>
    <t>1715000</t>
  </si>
  <si>
    <t>KR-C31-TOUR-MUL-5Y10Y-SOUTH</t>
  </si>
  <si>
    <t>VIS-KR-06</t>
  </si>
  <si>
    <t>Hàn (miền Nam) 5 năm = 10 Năm Multiple</t>
  </si>
  <si>
    <t>5 năm = 10 năm</t>
  </si>
  <si>
    <t>4495000</t>
  </si>
  <si>
    <t>166.48</t>
  </si>
  <si>
    <t>190</t>
  </si>
  <si>
    <t>5035000</t>
  </si>
  <si>
    <t>23.52</t>
  </si>
  <si>
    <t>635000</t>
  </si>
  <si>
    <t>83.52</t>
  </si>
  <si>
    <t>2255000</t>
  </si>
  <si>
    <t>VIS-JP-01</t>
  </si>
  <si>
    <t>Nhật SGL</t>
  </si>
  <si>
    <t>1622500</t>
  </si>
  <si>
    <t>60.09</t>
  </si>
  <si>
    <t>80</t>
  </si>
  <si>
    <t>2120000</t>
  </si>
  <si>
    <t>19.91</t>
  </si>
  <si>
    <t>537500</t>
  </si>
  <si>
    <t>110</t>
  </si>
  <si>
    <t>2970000</t>
  </si>
  <si>
    <t>49.91</t>
  </si>
  <si>
    <t>1347500</t>
  </si>
  <si>
    <t>VIS-JP-02</t>
  </si>
  <si>
    <t>Nhật MUL</t>
  </si>
  <si>
    <t>Multiple</t>
  </si>
  <si>
    <t>2122500</t>
  </si>
  <si>
    <t>78.61</t>
  </si>
  <si>
    <t>2915000</t>
  </si>
  <si>
    <t>31.39</t>
  </si>
  <si>
    <t>847500</t>
  </si>
  <si>
    <t>51.39</t>
  </si>
  <si>
    <t>1387500</t>
  </si>
  <si>
    <t>TW-TOUR-STANDARD-5D</t>
  </si>
  <si>
    <t>VIS-TW-01</t>
  </si>
  <si>
    <t>Đài Loan thường 5 ngày</t>
  </si>
  <si>
    <t>Standard</t>
  </si>
  <si>
    <t>5 ngày</t>
  </si>
  <si>
    <t>1990000</t>
  </si>
  <si>
    <t>73.70</t>
  </si>
  <si>
    <t>2295000</t>
  </si>
  <si>
    <t>11.30</t>
  </si>
  <si>
    <t>305000</t>
  </si>
  <si>
    <t>3240000</t>
  </si>
  <si>
    <t>46.30</t>
  </si>
  <si>
    <t>1250000</t>
  </si>
  <si>
    <t>TW-TOUR-URGENT-3D</t>
  </si>
  <si>
    <t>VIS-TW-02</t>
  </si>
  <si>
    <t>Đài Loan khẩn 3 ngày</t>
  </si>
  <si>
    <t>Urgent</t>
  </si>
  <si>
    <t>3 ngày</t>
  </si>
  <si>
    <t>2790000</t>
  </si>
  <si>
    <t>103.33</t>
  </si>
  <si>
    <t>115</t>
  </si>
  <si>
    <t>3105000</t>
  </si>
  <si>
    <t>11.67</t>
  </si>
  <si>
    <t>315000</t>
  </si>
  <si>
    <t>150</t>
  </si>
  <si>
    <t>4050000</t>
  </si>
  <si>
    <t>46.67</t>
  </si>
  <si>
    <t>1260000</t>
  </si>
  <si>
    <t>CN-TOUR-BIZ-SGL</t>
  </si>
  <si>
    <t>VIS-CN-01</t>
  </si>
  <si>
    <t>Trung Quốc du lịch = thương mại</t>
  </si>
  <si>
    <t>Du lịch/Thương mại</t>
  </si>
  <si>
    <t>2565000</t>
  </si>
  <si>
    <t>95.00</t>
  </si>
  <si>
    <t>105</t>
  </si>
  <si>
    <t>2835000</t>
  </si>
  <si>
    <t>10.00</t>
  </si>
  <si>
    <t>270000</t>
  </si>
  <si>
    <t>35.00</t>
  </si>
  <si>
    <t>945000</t>
  </si>
  <si>
    <t>Giá NET (VND)</t>
  </si>
  <si>
    <t>Lợi nhuận đối tác VND</t>
  </si>
  <si>
    <t>Lợi nhuận khách lẻ VND</t>
  </si>
  <si>
    <t>Loại</t>
  </si>
  <si>
    <t>HTO_Visa_Price_Sync.xlsx</t>
  </si>
  <si>
    <t>Bảng giá</t>
  </si>
  <si>
    <t>Đã gộp</t>
  </si>
  <si>
    <t>Sheet 02_Visa_Price_Master</t>
  </si>
  <si>
    <t>HTO_Visa_Master_System.xlsx</t>
  </si>
  <si>
    <t>Mã visa/checklist/form/API</t>
  </si>
  <si>
    <t>Sheet 00_Master_Sync</t>
  </si>
  <si>
    <t>Google Drive checklist folders</t>
  </si>
  <si>
    <t>Checklist nguồn</t>
  </si>
  <si>
    <t>Đã tổng hợp phần chính</t>
  </si>
  <si>
    <t>Indonesia/Ấn Độ cần checklist chính thức</t>
  </si>
  <si>
    <t>Google Sheet bảng giá</t>
  </si>
  <si>
    <t>Giá visa</t>
  </si>
  <si>
    <t>Đã đồng bộ</t>
  </si>
  <si>
    <t>Theo bảng giá đã trích xuất trước đó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</si>
</sst>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0B3A66"/>
      </patternFill>
    </fill>
    <fill>
      <patternFill patternType="solid">
        <fgColor rgb="FF002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4" borderId="0" xfId="0" applyFont="1" applyFill="1"/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3" fontId="0" fillId="0" borderId="0" xfId="0" applyNumberFormat="1" applyAlignment="1">
      <alignment wrapText="1"/>
    </xf>
    <xf numFmtId="0" fontId="1" fillId="5" borderId="0" xfId="0" applyFont="1" applyFill="1" applyAlignment="1">
      <alignment horizontal="center" vertical="center" wrapText="1"/>
    </xf>
    <xf numFmtId="2" fontId="0" fillId="0" borderId="0" xfId="0" applyNumberFormat="1" applyAlignment="1">
      <alignment wrapText="1"/>
    </xf>
    <xf numFmtId="0" fontId="3" fillId="5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1_Visa_Code_MasterTable" displayName="_1_Visa_Code_MasterTable" ref="A1:H27">
  <tableColumns count="8">
    <tableColumn id="1" xr3:uid="{00000000-0010-0000-0000-000001000000}" name="Visa Code"/>
    <tableColumn id="2" xr3:uid="{00000000-0010-0000-0000-000002000000}" name="Quốc gia"/>
    <tableColumn id="3" xr3:uid="{00000000-0010-0000-0000-000003000000}" name="Nhóm visa"/>
    <tableColumn id="4" xr3:uid="{00000000-0010-0000-0000-000004000000}" name="Loại/Thời hạn"/>
    <tableColumn id="5" xr3:uid="{00000000-0010-0000-0000-000005000000}" name="Checklist Code"/>
    <tableColumn id="6" xr3:uid="{00000000-0010-0000-0000-000006000000}" name="Form Code"/>
    <tableColumn id="7" xr3:uid="{00000000-0010-0000-0000-000007000000}" name="Trạng thái"/>
    <tableColumn id="8" xr3:uid="{00000000-0010-0000-0000-000008000000}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2_Checklist_MasterTable" displayName="_2_Checklist_MasterTable" ref="A1:I11">
  <tableColumns count="9">
    <tableColumn id="1" xr3:uid="{00000000-0010-0000-0100-000001000000}" name="Checklist Code"/>
    <tableColumn id="2" xr3:uid="{00000000-0010-0000-0100-000002000000}" name="Visa Code"/>
    <tableColumn id="3" xr3:uid="{00000000-0010-0000-0100-000003000000}" name="Quốc gia"/>
    <tableColumn id="4" xr3:uid="{00000000-0010-0000-0100-000004000000}" name="Loại visa"/>
    <tableColumn id="5" xr3:uid="{00000000-0010-0000-0100-000005000000}" name="Hồ sơ nhân thân"/>
    <tableColumn id="6" xr3:uid="{00000000-0010-0000-0100-000006000000}" name="Hồ sơ công việc"/>
    <tableColumn id="7" xr3:uid="{00000000-0010-0000-0100-000007000000}" name="Hồ sơ tài chính"/>
    <tableColumn id="8" xr3:uid="{00000000-0010-0000-0100-000008000000}" name="Hồ sơ chuyến đi"/>
    <tableColumn id="9" xr3:uid="{00000000-0010-0000-0100-000009000000}" name="Lưu ý đặc th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3_Form_MasterTable" displayName="_3_Form_MasterTable" ref="A1:F14">
  <tableColumns count="6">
    <tableColumn id="1" xr3:uid="{00000000-0010-0000-0200-000001000000}" name="Form Code"/>
    <tableColumn id="2" xr3:uid="{00000000-0010-0000-0200-000002000000}" name="Tên form"/>
    <tableColumn id="3" xr3:uid="{00000000-0010-0000-0200-000003000000}" name="Áp dụng cho Visa Code"/>
    <tableColumn id="4" xr3:uid="{00000000-0010-0000-0200-000004000000}" name="Người thực hiện"/>
    <tableColumn id="5" xr3:uid="{00000000-0010-0000-0200-000005000000}" name="Hình thức"/>
    <tableColumn id="6" xr3:uid="{00000000-0010-0000-0200-000006000000}" name="Ghi ch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4_API_CRM_MappingTable" displayName="_4_API_CRM_MappingTable" ref="A1:E13">
  <tableColumns count="5">
    <tableColumn id="1" xr3:uid="{00000000-0010-0000-0300-000001000000}" name="Field API"/>
    <tableColumn id="2" xr3:uid="{00000000-0010-0000-0300-000002000000}" name="Tên tiếng Việt"/>
    <tableColumn id="3" xr3:uid="{00000000-0010-0000-0300-000003000000}" name="Bắt buộc"/>
    <tableColumn id="4" xr3:uid="{00000000-0010-0000-0300-000004000000}" name="Kiểu dữ liệu"/>
    <tableColumn id="5" xr3:uid="{00000000-0010-0000-0300-000005000000}" name="Ghi chú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5_Doc_GroupsTable" displayName="_5_Doc_GroupsTable" ref="A1:C9">
  <tableColumns count="3">
    <tableColumn id="1" xr3:uid="{00000000-0010-0000-0400-000001000000}" name="Doc Group Code"/>
    <tableColumn id="2" xr3:uid="{00000000-0010-0000-0400-000002000000}" name="Nhóm hồ sơ"/>
    <tableColumn id="3" xr3:uid="{00000000-0010-0000-0400-000003000000}" name="Mô tả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6_Status_ListTable" displayName="_6_Status_ListTable" ref="A1:B6">
  <tableColumns count="2">
    <tableColumn id="1" xr3:uid="{00000000-0010-0000-0500-000001000000}" name="Status"/>
    <tableColumn id="2" xr3:uid="{00000000-0010-0000-0500-000002000000}" name="Ý nghĩ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7_Source_IndexTable" displayName="_7_Source_IndexTable" ref="A1:C12">
  <tableColumns count="3">
    <tableColumn id="1" xr3:uid="{00000000-0010-0000-0600-000001000000}" name="Nhóm"/>
    <tableColumn id="2" xr3:uid="{00000000-0010-0000-0600-000002000000}" name="Tên tài liệu gốc"/>
    <tableColumn id="3" xr3:uid="{00000000-0010-0000-0600-000003000000}" name="Nguồn/Ghi ch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VisaPriceMasterTable" displayName="VisaPriceMasterTable" ref="A1:U21">
  <tableColumns count="21">
    <tableColumn id="1" xr3:uid="{00000000-0010-0000-0700-000001000000}" name="STT"/>
    <tableColumn id="2" xr3:uid="{00000000-0010-0000-0700-000002000000}" name="Visa Code"/>
    <tableColumn id="3" xr3:uid="{00000000-0010-0000-0700-000003000000}" name="Mã ngắn"/>
    <tableColumn id="4" xr3:uid="{00000000-0010-0000-0700-000004000000}" name="Quốc gia"/>
    <tableColumn id="5" xr3:uid="{00000000-0010-0000-0700-000005000000}" name="Sản phẩm"/>
    <tableColumn id="6" xr3:uid="{00000000-0010-0000-0700-000006000000}" name="Mục đích"/>
    <tableColumn id="7" xr3:uid="{00000000-0010-0000-0700-000007000000}" name="Loại nhập cảnh"/>
    <tableColumn id="8" xr3:uid="{00000000-0010-0000-0700-000008000000}" name="Thời hạn/Ghi chú"/>
    <tableColumn id="9" xr3:uid="{00000000-0010-0000-0700-000009000000}" name="Khu vực nộp"/>
    <tableColumn id="10" xr3:uid="{00000000-0010-0000-0700-00000A000000}" name="Tổng giá NET (VND)"/>
    <tableColumn id="11" xr3:uid="{00000000-0010-0000-0700-00000B000000}" name="Net USD"/>
    <tableColumn id="12" xr3:uid="{00000000-0010-0000-0700-00000C000000}" name="Giá đối tác USD"/>
    <tableColumn id="13" xr3:uid="{00000000-0010-0000-0700-00000D000000}" name="Giá đối tác VND"/>
    <tableColumn id="14" xr3:uid="{00000000-0010-0000-0700-00000E000000}" name="LN đối tác USD"/>
    <tableColumn id="15" xr3:uid="{00000000-0010-0000-0700-00000F000000}" name="LN đối tác VND"/>
    <tableColumn id="16" xr3:uid="{00000000-0010-0000-0700-000010000000}" name="Giá khách lẻ USD"/>
    <tableColumn id="17" xr3:uid="{00000000-0010-0000-0700-000011000000}" name="Giá khách lẻ VND"/>
    <tableColumn id="18" xr3:uid="{00000000-0010-0000-0700-000012000000}" name="LN khách lẻ USD"/>
    <tableColumn id="19" xr3:uid="{00000000-0010-0000-0700-000013000000}" name="LN khách lẻ VND"/>
    <tableColumn id="20" xr3:uid="{00000000-0010-0000-0700-000014000000}" name="Trạng thái"/>
    <tableColumn id="21" xr3:uid="{00000000-0010-0000-0700-000015000000}" name="Nguồ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asterSyncTable" displayName="MasterSyncTable" ref="A1:Q40">
  <tableColumns count="17">
    <tableColumn id="1" xr3:uid="{00000000-0010-0000-0800-000001000000}" name="Visa Code"/>
    <tableColumn id="2" xr3:uid="{00000000-0010-0000-0800-000002000000}" name="Mã ngắn"/>
    <tableColumn id="3" xr3:uid="{00000000-0010-0000-0800-000003000000}" name="Quốc gia"/>
    <tableColumn id="4" xr3:uid="{00000000-0010-0000-0800-000004000000}" name="Sản phẩm"/>
    <tableColumn id="5" xr3:uid="{00000000-0010-0000-0800-000005000000}" name="Nhóm visa"/>
    <tableColumn id="6" xr3:uid="{00000000-0010-0000-0800-000006000000}" name="Loại/Thời hạn"/>
    <tableColumn id="7" xr3:uid="{00000000-0010-0000-0800-000007000000}" name="Checklist Code"/>
    <tableColumn id="8" xr3:uid="{00000000-0010-0000-0800-000008000000}" name="Form Code"/>
    <tableColumn id="9" xr3:uid="{00000000-0010-0000-0800-000009000000}" name="Giá NET (VND)"/>
    <tableColumn id="10" xr3:uid="{00000000-0010-0000-0800-00000A000000}" name="Giá đối tác USD"/>
    <tableColumn id="11" xr3:uid="{00000000-0010-0000-0800-00000B000000}" name="Giá đối tác VND"/>
    <tableColumn id="12" xr3:uid="{00000000-0010-0000-0800-00000C000000}" name="Lợi nhuận đối tác VND"/>
    <tableColumn id="13" xr3:uid="{00000000-0010-0000-0800-00000D000000}" name="Giá khách lẻ USD"/>
    <tableColumn id="14" xr3:uid="{00000000-0010-0000-0800-00000E000000}" name="Giá khách lẻ VND"/>
    <tableColumn id="15" xr3:uid="{00000000-0010-0000-0800-00000F000000}" name="Lợi nhuận khách lẻ VND"/>
    <tableColumn id="16" xr3:uid="{00000000-0010-0000-0800-000010000000}" name="Trạng thái"/>
    <tableColumn id="17" xr3:uid="{00000000-0010-0000-0800-000011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sqref="A1:H1"/>
    </sheetView>
  </sheetViews>
  <sheetFormatPr defaultRowHeight="13.5"/>
  <cols>
    <col min="1" max="1" width="64.3125" customWidth="1"/>
    <col min="2" max="2" width="6.875" customWidth="1"/>
    <col min="3" max="3" width="32.3125" customWidth="1"/>
    <col min="5" max="5" width="13.3125" customWidth="1"/>
    <col min="6" max="6" width="7.375" customWidth="1"/>
  </cols>
  <sheetData>
    <row r="1" spans="1:8" ht="14.65">
      <c r="A1" s="11" t="s">
        <v>0</v>
      </c>
      <c r="B1" s="12"/>
      <c r="C1" s="12"/>
      <c r="D1" s="12"/>
      <c r="E1" s="12"/>
      <c r="F1" s="12"/>
      <c r="G1" s="12"/>
      <c r="H1" s="12"/>
    </row>
    <row r="2" spans="1:8">
      <c r="A2" s="4"/>
      <c r="B2" s="4"/>
      <c r="C2" s="4"/>
      <c r="D2" s="4"/>
      <c r="E2" s="4"/>
      <c r="F2" s="4"/>
      <c r="G2" s="4"/>
      <c r="H2" s="4"/>
    </row>
    <row r="3" spans="1:8" ht="13.9">
      <c r="A3" s="6" t="s">
        <v>1</v>
      </c>
      <c r="B3" s="6" t="s">
        <v>2</v>
      </c>
      <c r="C3" s="2"/>
      <c r="D3" s="4"/>
      <c r="E3" s="1"/>
      <c r="F3" s="1"/>
      <c r="G3" s="1"/>
      <c r="H3" s="1"/>
    </row>
    <row r="4" spans="1:8">
      <c r="A4" s="4" t="s">
        <v>3</v>
      </c>
      <c r="B4" s="4">
        <f>COUNTA('00_Master_Sync'!A2:A40)</f>
        <v>39</v>
      </c>
      <c r="C4" s="4"/>
      <c r="D4" s="4"/>
      <c r="E4" s="4"/>
      <c r="F4" s="4"/>
      <c r="G4" s="4"/>
      <c r="H4" s="4"/>
    </row>
    <row r="5" spans="1:8">
      <c r="A5" s="4" t="s">
        <v>4</v>
      </c>
      <c r="B5" s="4">
        <f>COUNT('00_Master_Sync'!I2:I40)</f>
        <v>0</v>
      </c>
      <c r="C5" s="4"/>
      <c r="D5" s="4"/>
      <c r="E5" s="4"/>
      <c r="F5" s="4"/>
      <c r="G5" s="4"/>
      <c r="H5" s="4"/>
    </row>
    <row r="6" spans="1:8">
      <c r="A6" s="4" t="s">
        <v>5</v>
      </c>
      <c r="B6" s="8">
        <f>B4-B5</f>
        <v>39</v>
      </c>
      <c r="C6" s="4"/>
      <c r="D6" s="4"/>
      <c r="E6" s="4"/>
      <c r="F6" s="4"/>
      <c r="G6" s="4"/>
      <c r="H6" s="4"/>
    </row>
    <row r="7" spans="1:8">
      <c r="A7" s="4" t="s">
        <v>6</v>
      </c>
      <c r="B7" s="8">
        <f>SUM('00_Master_Sync'!I2:I40)</f>
        <v>0</v>
      </c>
      <c r="C7" s="4"/>
      <c r="D7" s="4"/>
      <c r="E7" s="4"/>
      <c r="F7" s="4"/>
      <c r="G7" s="4"/>
      <c r="H7" s="4"/>
    </row>
    <row r="8" spans="1:8">
      <c r="A8" s="4" t="s">
        <v>7</v>
      </c>
      <c r="B8" s="8">
        <f>SUM('00_Master_Sync'!K2:K40)</f>
        <v>0</v>
      </c>
      <c r="C8" s="4"/>
      <c r="D8" s="4"/>
      <c r="E8" s="4"/>
      <c r="F8" s="4"/>
      <c r="G8" s="4"/>
      <c r="H8" s="4"/>
    </row>
    <row r="9" spans="1:8">
      <c r="A9" s="4" t="s">
        <v>8</v>
      </c>
      <c r="B9" s="8">
        <f>SUM('00_Master_Sync'!N2:N40)</f>
        <v>0</v>
      </c>
      <c r="C9" s="4"/>
      <c r="D9" s="4"/>
      <c r="E9" s="4"/>
      <c r="F9" s="4"/>
      <c r="G9" s="4"/>
      <c r="H9" s="4"/>
    </row>
    <row r="10" spans="1:8" ht="13.9">
      <c r="A10" s="13" t="s">
        <v>9</v>
      </c>
      <c r="B10" s="14">
        <f>SUM('00_Master_Sync'!L2:L40)</f>
        <v>0</v>
      </c>
      <c r="C10" s="12"/>
      <c r="D10" s="12"/>
      <c r="E10" s="12"/>
      <c r="F10" s="12"/>
      <c r="G10" s="12"/>
      <c r="H10" s="12"/>
    </row>
    <row r="11" spans="1:8">
      <c r="A11" s="4" t="s">
        <v>10</v>
      </c>
      <c r="B11" s="8">
        <f>SUM('00_Master_Sync'!O2:O40)</f>
        <v>0</v>
      </c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</sheetData>
  <mergeCells count="2">
    <mergeCell ref="A1:H1"/>
    <mergeCell ref="A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tabSelected="1" workbookViewId="0">
      <selection activeCell="D5" sqref="D5"/>
    </sheetView>
  </sheetViews>
  <sheetFormatPr defaultRowHeight="13.5"/>
  <cols>
    <col min="1" max="1" width="24" customWidth="1"/>
    <col min="2" max="2" width="11.375" bestFit="1" customWidth="1"/>
    <col min="3" max="3" width="14.125" bestFit="1" customWidth="1"/>
    <col min="4" max="4" width="24" customWidth="1"/>
    <col min="5" max="5" width="13.875" bestFit="1" customWidth="1"/>
    <col min="6" max="6" width="12.5" bestFit="1" customWidth="1"/>
    <col min="7" max="7" width="13" bestFit="1" customWidth="1"/>
    <col min="8" max="8" width="30.4375" customWidth="1"/>
  </cols>
  <sheetData>
    <row r="1" spans="1:8" ht="13.9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 spans="1:8" ht="27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</row>
    <row r="3" spans="1:8" ht="27">
      <c r="A3" s="4" t="s">
        <v>27</v>
      </c>
      <c r="B3" s="4" t="s">
        <v>20</v>
      </c>
      <c r="C3" s="4" t="s">
        <v>21</v>
      </c>
      <c r="D3" s="4" t="s">
        <v>28</v>
      </c>
      <c r="E3" s="4" t="s">
        <v>29</v>
      </c>
      <c r="F3" s="4" t="s">
        <v>24</v>
      </c>
      <c r="G3" s="4" t="s">
        <v>25</v>
      </c>
      <c r="H3" s="4" t="s">
        <v>30</v>
      </c>
    </row>
    <row r="4" spans="1:8" ht="27">
      <c r="A4" s="4" t="s">
        <v>31</v>
      </c>
      <c r="B4" s="4" t="s">
        <v>32</v>
      </c>
      <c r="C4" s="4" t="s">
        <v>21</v>
      </c>
      <c r="D4" s="4" t="s">
        <v>33</v>
      </c>
      <c r="E4" s="4" t="s">
        <v>34</v>
      </c>
      <c r="F4" s="4" t="s">
        <v>35</v>
      </c>
      <c r="G4" s="4" t="s">
        <v>25</v>
      </c>
      <c r="H4" s="4" t="s">
        <v>36</v>
      </c>
    </row>
    <row r="5" spans="1:8" ht="27">
      <c r="A5" s="4" t="s">
        <v>37</v>
      </c>
      <c r="B5" s="4" t="s">
        <v>32</v>
      </c>
      <c r="C5" s="4" t="s">
        <v>38</v>
      </c>
      <c r="D5" s="4" t="s">
        <v>39</v>
      </c>
      <c r="E5" s="4" t="s">
        <v>40</v>
      </c>
      <c r="F5" s="4" t="s">
        <v>35</v>
      </c>
      <c r="G5" s="4" t="s">
        <v>25</v>
      </c>
      <c r="H5" s="4" t="s">
        <v>41</v>
      </c>
    </row>
    <row r="6" spans="1:8">
      <c r="A6" s="4" t="s">
        <v>42</v>
      </c>
      <c r="B6" s="4" t="s">
        <v>43</v>
      </c>
      <c r="C6" s="4" t="s">
        <v>21</v>
      </c>
      <c r="D6" s="4" t="s">
        <v>44</v>
      </c>
      <c r="E6" s="4" t="s">
        <v>45</v>
      </c>
      <c r="F6" s="4" t="s">
        <v>46</v>
      </c>
      <c r="G6" s="4" t="s">
        <v>25</v>
      </c>
      <c r="H6" s="4" t="s">
        <v>47</v>
      </c>
    </row>
    <row r="7" spans="1:8" ht="27">
      <c r="A7" s="4" t="s">
        <v>48</v>
      </c>
      <c r="B7" s="4" t="s">
        <v>43</v>
      </c>
      <c r="C7" s="4" t="s">
        <v>21</v>
      </c>
      <c r="D7" s="4" t="s">
        <v>49</v>
      </c>
      <c r="E7" s="4" t="s">
        <v>50</v>
      </c>
      <c r="F7" s="4" t="s">
        <v>51</v>
      </c>
      <c r="G7" s="4" t="s">
        <v>25</v>
      </c>
      <c r="H7" s="4" t="s">
        <v>52</v>
      </c>
    </row>
    <row r="8" spans="1:8" ht="27">
      <c r="A8" s="4" t="s">
        <v>53</v>
      </c>
      <c r="B8" s="4" t="s">
        <v>43</v>
      </c>
      <c r="C8" s="4" t="s">
        <v>54</v>
      </c>
      <c r="D8" s="4" t="s">
        <v>55</v>
      </c>
      <c r="E8" s="4" t="s">
        <v>56</v>
      </c>
      <c r="F8" s="4" t="s">
        <v>46</v>
      </c>
      <c r="G8" s="4" t="s">
        <v>25</v>
      </c>
      <c r="H8" s="4" t="s">
        <v>57</v>
      </c>
    </row>
    <row r="9" spans="1:8" ht="27">
      <c r="A9" s="4" t="s">
        <v>58</v>
      </c>
      <c r="B9" s="4" t="s">
        <v>59</v>
      </c>
      <c r="C9" s="4" t="s">
        <v>21</v>
      </c>
      <c r="D9" s="4" t="s">
        <v>60</v>
      </c>
      <c r="E9" s="4" t="s">
        <v>61</v>
      </c>
      <c r="F9" s="4" t="s">
        <v>62</v>
      </c>
      <c r="G9" s="4" t="s">
        <v>25</v>
      </c>
      <c r="H9" s="4" t="s">
        <v>63</v>
      </c>
    </row>
    <row r="10" spans="1:8" ht="27">
      <c r="A10" s="4" t="s">
        <v>64</v>
      </c>
      <c r="B10" s="4" t="s">
        <v>59</v>
      </c>
      <c r="C10" s="4" t="s">
        <v>38</v>
      </c>
      <c r="D10" s="4" t="s">
        <v>60</v>
      </c>
      <c r="E10" s="4" t="s">
        <v>65</v>
      </c>
      <c r="F10" s="4" t="s">
        <v>62</v>
      </c>
      <c r="G10" s="4" t="s">
        <v>25</v>
      </c>
      <c r="H10" s="4" t="s">
        <v>66</v>
      </c>
    </row>
    <row r="11" spans="1:8" ht="27">
      <c r="A11" s="4" t="s">
        <v>67</v>
      </c>
      <c r="B11" s="4" t="s">
        <v>68</v>
      </c>
      <c r="C11" s="4" t="s">
        <v>21</v>
      </c>
      <c r="D11" s="4" t="s">
        <v>69</v>
      </c>
      <c r="E11" s="4" t="s">
        <v>70</v>
      </c>
      <c r="F11" s="4" t="s">
        <v>71</v>
      </c>
      <c r="G11" s="4" t="s">
        <v>25</v>
      </c>
      <c r="H11" s="4" t="s">
        <v>72</v>
      </c>
    </row>
    <row r="12" spans="1:8" ht="27">
      <c r="A12" s="4" t="s">
        <v>73</v>
      </c>
      <c r="B12" s="4" t="s">
        <v>68</v>
      </c>
      <c r="C12" s="4" t="s">
        <v>74</v>
      </c>
      <c r="D12" s="4" t="s">
        <v>69</v>
      </c>
      <c r="E12" s="4" t="s">
        <v>75</v>
      </c>
      <c r="F12" s="4" t="s">
        <v>71</v>
      </c>
      <c r="G12" s="4" t="s">
        <v>25</v>
      </c>
      <c r="H12" s="4" t="s">
        <v>76</v>
      </c>
    </row>
    <row r="13" spans="1:8" ht="27">
      <c r="A13" s="4" t="s">
        <v>77</v>
      </c>
      <c r="B13" s="4" t="s">
        <v>68</v>
      </c>
      <c r="C13" s="4" t="s">
        <v>78</v>
      </c>
      <c r="D13" s="4" t="s">
        <v>69</v>
      </c>
      <c r="E13" s="4" t="s">
        <v>79</v>
      </c>
      <c r="F13" s="4" t="s">
        <v>71</v>
      </c>
      <c r="G13" s="4" t="s">
        <v>25</v>
      </c>
      <c r="H13" s="4" t="s">
        <v>80</v>
      </c>
    </row>
    <row r="14" spans="1:8" ht="27">
      <c r="A14" s="4" t="s">
        <v>81</v>
      </c>
      <c r="B14" s="4" t="s">
        <v>82</v>
      </c>
      <c r="C14" s="4" t="s">
        <v>21</v>
      </c>
      <c r="D14" s="4" t="s">
        <v>83</v>
      </c>
      <c r="E14" s="4" t="s">
        <v>84</v>
      </c>
      <c r="F14" s="4" t="s">
        <v>85</v>
      </c>
      <c r="G14" s="4" t="s">
        <v>25</v>
      </c>
      <c r="H14" s="4" t="s">
        <v>86</v>
      </c>
    </row>
    <row r="15" spans="1:8" ht="40.5">
      <c r="A15" s="4" t="s">
        <v>87</v>
      </c>
      <c r="B15" s="4" t="s">
        <v>82</v>
      </c>
      <c r="C15" s="4" t="s">
        <v>54</v>
      </c>
      <c r="D15" s="4" t="s">
        <v>83</v>
      </c>
      <c r="E15" s="4" t="s">
        <v>88</v>
      </c>
      <c r="F15" s="4" t="s">
        <v>85</v>
      </c>
      <c r="G15" s="4" t="s">
        <v>25</v>
      </c>
      <c r="H15" s="4" t="s">
        <v>89</v>
      </c>
    </row>
    <row r="16" spans="1:8" ht="27">
      <c r="A16" s="4" t="s">
        <v>90</v>
      </c>
      <c r="B16" s="4" t="s">
        <v>82</v>
      </c>
      <c r="C16" s="4" t="s">
        <v>38</v>
      </c>
      <c r="D16" s="4" t="s">
        <v>83</v>
      </c>
      <c r="E16" s="4" t="s">
        <v>91</v>
      </c>
      <c r="F16" s="4" t="s">
        <v>85</v>
      </c>
      <c r="G16" s="4" t="s">
        <v>25</v>
      </c>
      <c r="H16" s="4" t="s">
        <v>92</v>
      </c>
    </row>
    <row r="17" spans="1:8" ht="40.5">
      <c r="A17" s="4" t="s">
        <v>93</v>
      </c>
      <c r="B17" s="4" t="s">
        <v>94</v>
      </c>
      <c r="C17" s="4" t="s">
        <v>21</v>
      </c>
      <c r="D17" s="4" t="s">
        <v>95</v>
      </c>
      <c r="E17" s="4" t="s">
        <v>96</v>
      </c>
      <c r="F17" s="4" t="s">
        <v>97</v>
      </c>
      <c r="G17" s="4" t="s">
        <v>25</v>
      </c>
      <c r="H17" s="4" t="s">
        <v>98</v>
      </c>
    </row>
    <row r="18" spans="1:8" ht="27">
      <c r="A18" s="4" t="s">
        <v>99</v>
      </c>
      <c r="B18" s="4" t="s">
        <v>100</v>
      </c>
      <c r="C18" s="4" t="s">
        <v>21</v>
      </c>
      <c r="D18" s="4" t="s">
        <v>101</v>
      </c>
      <c r="E18" s="4" t="s">
        <v>102</v>
      </c>
      <c r="F18" s="4" t="s">
        <v>103</v>
      </c>
      <c r="G18" s="4" t="s">
        <v>25</v>
      </c>
      <c r="H18" s="4" t="s">
        <v>104</v>
      </c>
    </row>
    <row r="19" spans="1:8" ht="27">
      <c r="A19" s="4" t="s">
        <v>105</v>
      </c>
      <c r="B19" s="4" t="s">
        <v>100</v>
      </c>
      <c r="C19" s="4" t="s">
        <v>54</v>
      </c>
      <c r="D19" s="4" t="s">
        <v>101</v>
      </c>
      <c r="E19" s="4" t="s">
        <v>106</v>
      </c>
      <c r="F19" s="4" t="s">
        <v>103</v>
      </c>
      <c r="G19" s="4" t="s">
        <v>25</v>
      </c>
      <c r="H19" s="4" t="s">
        <v>107</v>
      </c>
    </row>
    <row r="20" spans="1:8" ht="27">
      <c r="A20" s="4" t="s">
        <v>108</v>
      </c>
      <c r="B20" s="4" t="s">
        <v>100</v>
      </c>
      <c r="C20" s="4" t="s">
        <v>38</v>
      </c>
      <c r="D20" s="4" t="s">
        <v>101</v>
      </c>
      <c r="E20" s="4" t="s">
        <v>109</v>
      </c>
      <c r="F20" s="4" t="s">
        <v>103</v>
      </c>
      <c r="G20" s="4" t="s">
        <v>25</v>
      </c>
      <c r="H20" s="4" t="s">
        <v>110</v>
      </c>
    </row>
    <row r="21" spans="1:8" ht="27">
      <c r="A21" s="4" t="s">
        <v>111</v>
      </c>
      <c r="B21" s="4" t="s">
        <v>112</v>
      </c>
      <c r="C21" s="4" t="s">
        <v>21</v>
      </c>
      <c r="D21" s="4" t="s">
        <v>113</v>
      </c>
      <c r="E21" s="4" t="s">
        <v>114</v>
      </c>
      <c r="F21" s="4" t="s">
        <v>85</v>
      </c>
      <c r="G21" s="4" t="s">
        <v>25</v>
      </c>
      <c r="H21" s="4" t="s">
        <v>104</v>
      </c>
    </row>
    <row r="22" spans="1:8" ht="27">
      <c r="A22" s="4" t="s">
        <v>115</v>
      </c>
      <c r="B22" s="4" t="s">
        <v>116</v>
      </c>
      <c r="C22" s="4" t="s">
        <v>117</v>
      </c>
      <c r="D22" s="4" t="s">
        <v>118</v>
      </c>
      <c r="E22" s="4" t="s">
        <v>119</v>
      </c>
      <c r="F22" s="4" t="s">
        <v>120</v>
      </c>
      <c r="G22" s="4" t="s">
        <v>25</v>
      </c>
      <c r="H22" s="4" t="s">
        <v>121</v>
      </c>
    </row>
    <row r="23" spans="1:8" ht="27">
      <c r="A23" s="4" t="s">
        <v>122</v>
      </c>
      <c r="B23" s="4" t="s">
        <v>116</v>
      </c>
      <c r="C23" s="4" t="s">
        <v>123</v>
      </c>
      <c r="D23" s="4" t="s">
        <v>124</v>
      </c>
      <c r="E23" s="4" t="s">
        <v>125</v>
      </c>
      <c r="F23" s="4" t="s">
        <v>120</v>
      </c>
      <c r="G23" s="4" t="s">
        <v>126</v>
      </c>
      <c r="H23" s="4" t="s">
        <v>127</v>
      </c>
    </row>
    <row r="24" spans="1:8" ht="27">
      <c r="A24" s="4" t="s">
        <v>128</v>
      </c>
      <c r="B24" s="4" t="s">
        <v>129</v>
      </c>
      <c r="C24" s="4" t="s">
        <v>21</v>
      </c>
      <c r="D24" s="4" t="s">
        <v>130</v>
      </c>
      <c r="E24" s="4" t="s">
        <v>131</v>
      </c>
      <c r="F24" s="4" t="s">
        <v>132</v>
      </c>
      <c r="G24" s="4" t="s">
        <v>25</v>
      </c>
      <c r="H24" s="4" t="s">
        <v>133</v>
      </c>
    </row>
    <row r="25" spans="1:8" ht="27">
      <c r="A25" s="4" t="s">
        <v>134</v>
      </c>
      <c r="B25" s="4" t="s">
        <v>129</v>
      </c>
      <c r="C25" s="4" t="s">
        <v>135</v>
      </c>
      <c r="D25" s="4" t="s">
        <v>136</v>
      </c>
      <c r="E25" s="4" t="s">
        <v>137</v>
      </c>
      <c r="F25" s="4" t="s">
        <v>132</v>
      </c>
      <c r="G25" s="4" t="s">
        <v>25</v>
      </c>
      <c r="H25" s="4" t="s">
        <v>138</v>
      </c>
    </row>
    <row r="26" spans="1:8" ht="27">
      <c r="A26" s="4" t="s">
        <v>139</v>
      </c>
      <c r="B26" s="4" t="s">
        <v>140</v>
      </c>
      <c r="C26" s="4" t="s">
        <v>21</v>
      </c>
      <c r="D26" s="4" t="s">
        <v>141</v>
      </c>
      <c r="E26" s="4" t="s">
        <v>142</v>
      </c>
      <c r="F26" s="4" t="s">
        <v>143</v>
      </c>
      <c r="G26" s="4" t="s">
        <v>144</v>
      </c>
      <c r="H26" s="4" t="s">
        <v>145</v>
      </c>
    </row>
    <row r="27" spans="1:8" ht="27">
      <c r="A27" s="4" t="s">
        <v>146</v>
      </c>
      <c r="B27" s="4" t="s">
        <v>147</v>
      </c>
      <c r="C27" s="4" t="s">
        <v>21</v>
      </c>
      <c r="D27" s="4" t="s">
        <v>141</v>
      </c>
      <c r="E27" s="4" t="s">
        <v>148</v>
      </c>
      <c r="F27" s="4" t="s">
        <v>149</v>
      </c>
      <c r="G27" s="4" t="s">
        <v>144</v>
      </c>
      <c r="H27" s="4" t="s">
        <v>145</v>
      </c>
    </row>
  </sheetData>
  <dataValidations count="1">
    <dataValidation type="list" sqref="G2:G200" xr:uid="{00000000-0002-0000-0100-000000000000}">
      <formula1>"Active,Need Verify,Need Checklist,Inactive,Draft"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A2" sqref="A2"/>
    </sheetView>
  </sheetViews>
  <sheetFormatPr defaultColWidth="23.9375" defaultRowHeight="13.5"/>
  <cols>
    <col min="1" max="1" width="13.875" bestFit="1" customWidth="1"/>
    <col min="2" max="2" width="20.4375" bestFit="1" customWidth="1"/>
    <col min="3" max="3" width="11.375" bestFit="1" customWidth="1"/>
    <col min="4" max="4" width="14.3125" bestFit="1" customWidth="1"/>
    <col min="5" max="5" width="23.75" bestFit="1" customWidth="1"/>
    <col min="6" max="7" width="23.4375" bestFit="1" customWidth="1"/>
    <col min="8" max="8" width="23.1875" bestFit="1" customWidth="1"/>
    <col min="9" max="9" width="22.875" bestFit="1" customWidth="1"/>
  </cols>
  <sheetData>
    <row r="1" spans="1:9" ht="13.9">
      <c r="A1" s="3" t="s">
        <v>15</v>
      </c>
      <c r="B1" s="3" t="s">
        <v>11</v>
      </c>
      <c r="C1" s="3" t="s">
        <v>12</v>
      </c>
      <c r="D1" s="3" t="s">
        <v>150</v>
      </c>
      <c r="E1" s="3" t="s">
        <v>151</v>
      </c>
      <c r="F1" s="3" t="s">
        <v>152</v>
      </c>
      <c r="G1" s="3" t="s">
        <v>153</v>
      </c>
      <c r="H1" s="3" t="s">
        <v>154</v>
      </c>
      <c r="I1" s="3" t="s">
        <v>155</v>
      </c>
    </row>
    <row r="2" spans="1:9" ht="40.5">
      <c r="A2" s="4" t="s">
        <v>23</v>
      </c>
      <c r="B2" s="4" t="s">
        <v>19</v>
      </c>
      <c r="C2" s="4" t="s">
        <v>20</v>
      </c>
      <c r="D2" s="4" t="s">
        <v>156</v>
      </c>
      <c r="E2" s="4" t="s">
        <v>157</v>
      </c>
      <c r="F2" s="4" t="s">
        <v>158</v>
      </c>
      <c r="G2" s="4" t="s">
        <v>159</v>
      </c>
      <c r="H2" s="4" t="s">
        <v>160</v>
      </c>
      <c r="I2" s="4" t="s">
        <v>161</v>
      </c>
    </row>
    <row r="3" spans="1:9" ht="40.5">
      <c r="A3" s="4" t="s">
        <v>34</v>
      </c>
      <c r="B3" s="4" t="s">
        <v>31</v>
      </c>
      <c r="C3" s="4" t="s">
        <v>32</v>
      </c>
      <c r="D3" s="4" t="s">
        <v>21</v>
      </c>
      <c r="E3" s="4" t="s">
        <v>162</v>
      </c>
      <c r="F3" s="4" t="s">
        <v>163</v>
      </c>
      <c r="G3" s="4" t="s">
        <v>164</v>
      </c>
      <c r="H3" s="4" t="s">
        <v>165</v>
      </c>
      <c r="I3" s="4" t="s">
        <v>166</v>
      </c>
    </row>
    <row r="4" spans="1:9" ht="40.5">
      <c r="A4" s="4" t="s">
        <v>45</v>
      </c>
      <c r="B4" s="4" t="s">
        <v>42</v>
      </c>
      <c r="C4" s="4" t="s">
        <v>43</v>
      </c>
      <c r="D4" s="4" t="s">
        <v>21</v>
      </c>
      <c r="E4" s="4" t="s">
        <v>167</v>
      </c>
      <c r="F4" s="4" t="s">
        <v>168</v>
      </c>
      <c r="G4" s="4" t="s">
        <v>169</v>
      </c>
      <c r="H4" s="4" t="s">
        <v>160</v>
      </c>
      <c r="I4" s="4" t="s">
        <v>170</v>
      </c>
    </row>
    <row r="5" spans="1:9" ht="40.5">
      <c r="A5" s="4" t="s">
        <v>61</v>
      </c>
      <c r="B5" s="4" t="s">
        <v>58</v>
      </c>
      <c r="C5" s="4" t="s">
        <v>59</v>
      </c>
      <c r="D5" s="4" t="s">
        <v>21</v>
      </c>
      <c r="E5" s="4" t="s">
        <v>171</v>
      </c>
      <c r="F5" s="4" t="s">
        <v>172</v>
      </c>
      <c r="G5" s="4" t="s">
        <v>173</v>
      </c>
      <c r="H5" s="4" t="s">
        <v>160</v>
      </c>
      <c r="I5" s="4" t="s">
        <v>174</v>
      </c>
    </row>
    <row r="6" spans="1:9" ht="40.5">
      <c r="A6" s="4" t="s">
        <v>70</v>
      </c>
      <c r="B6" s="4" t="s">
        <v>67</v>
      </c>
      <c r="C6" s="4" t="s">
        <v>68</v>
      </c>
      <c r="D6" s="4" t="s">
        <v>175</v>
      </c>
      <c r="E6" s="4" t="s">
        <v>176</v>
      </c>
      <c r="F6" s="4" t="s">
        <v>177</v>
      </c>
      <c r="G6" s="4" t="s">
        <v>178</v>
      </c>
      <c r="H6" s="4" t="s">
        <v>179</v>
      </c>
      <c r="I6" s="4" t="s">
        <v>180</v>
      </c>
    </row>
    <row r="7" spans="1:9" ht="40.5">
      <c r="A7" s="4" t="s">
        <v>84</v>
      </c>
      <c r="B7" s="4" t="s">
        <v>81</v>
      </c>
      <c r="C7" s="4" t="s">
        <v>82</v>
      </c>
      <c r="D7" s="4" t="s">
        <v>21</v>
      </c>
      <c r="E7" s="4" t="s">
        <v>181</v>
      </c>
      <c r="F7" s="4" t="s">
        <v>182</v>
      </c>
      <c r="G7" s="4" t="s">
        <v>183</v>
      </c>
      <c r="H7" s="4" t="s">
        <v>184</v>
      </c>
      <c r="I7" s="4" t="s">
        <v>185</v>
      </c>
    </row>
    <row r="8" spans="1:9" ht="54">
      <c r="A8" s="4" t="s">
        <v>96</v>
      </c>
      <c r="B8" s="4" t="s">
        <v>93</v>
      </c>
      <c r="C8" s="4" t="s">
        <v>94</v>
      </c>
      <c r="D8" s="4" t="s">
        <v>21</v>
      </c>
      <c r="E8" s="4" t="s">
        <v>186</v>
      </c>
      <c r="F8" s="4" t="s">
        <v>187</v>
      </c>
      <c r="G8" s="4" t="s">
        <v>188</v>
      </c>
      <c r="H8" s="4" t="s">
        <v>189</v>
      </c>
      <c r="I8" s="4" t="s">
        <v>190</v>
      </c>
    </row>
    <row r="9" spans="1:9" ht="54">
      <c r="A9" s="4" t="s">
        <v>102</v>
      </c>
      <c r="B9" s="4" t="s">
        <v>99</v>
      </c>
      <c r="C9" s="4" t="s">
        <v>100</v>
      </c>
      <c r="D9" s="4" t="s">
        <v>21</v>
      </c>
      <c r="E9" s="4" t="s">
        <v>186</v>
      </c>
      <c r="F9" s="4" t="s">
        <v>187</v>
      </c>
      <c r="G9" s="4" t="s">
        <v>188</v>
      </c>
      <c r="H9" s="4" t="s">
        <v>191</v>
      </c>
      <c r="I9" s="4" t="s">
        <v>192</v>
      </c>
    </row>
    <row r="10" spans="1:9" ht="40.5">
      <c r="A10" s="4" t="s">
        <v>119</v>
      </c>
      <c r="B10" s="4" t="s">
        <v>115</v>
      </c>
      <c r="C10" s="4" t="s">
        <v>116</v>
      </c>
      <c r="D10" s="4" t="s">
        <v>118</v>
      </c>
      <c r="E10" s="4" t="s">
        <v>193</v>
      </c>
      <c r="F10" s="4" t="s">
        <v>194</v>
      </c>
      <c r="G10" s="4" t="s">
        <v>195</v>
      </c>
      <c r="H10" s="4" t="s">
        <v>196</v>
      </c>
      <c r="I10" s="4" t="s">
        <v>197</v>
      </c>
    </row>
    <row r="11" spans="1:9" ht="54">
      <c r="A11" s="4" t="s">
        <v>131</v>
      </c>
      <c r="B11" s="4" t="s">
        <v>128</v>
      </c>
      <c r="C11" s="4" t="s">
        <v>129</v>
      </c>
      <c r="D11" s="4" t="s">
        <v>198</v>
      </c>
      <c r="E11" s="4" t="s">
        <v>199</v>
      </c>
      <c r="F11" s="4" t="s">
        <v>200</v>
      </c>
      <c r="G11" s="4" t="s">
        <v>201</v>
      </c>
      <c r="H11" s="4" t="s">
        <v>202</v>
      </c>
      <c r="I11" s="4" t="s">
        <v>203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C6" sqref="C6"/>
    </sheetView>
  </sheetViews>
  <sheetFormatPr defaultRowHeight="13.5"/>
  <cols>
    <col min="1" max="1" width="12.5" bestFit="1" customWidth="1"/>
    <col min="2" max="3" width="24" customWidth="1"/>
    <col min="4" max="4" width="20" bestFit="1" customWidth="1"/>
    <col min="5" max="5" width="9.3125" bestFit="1" customWidth="1"/>
    <col min="6" max="6" width="25.1875" customWidth="1"/>
  </cols>
  <sheetData>
    <row r="1" spans="1:6" ht="13.9">
      <c r="A1" s="3" t="s">
        <v>16</v>
      </c>
      <c r="B1" s="3" t="s">
        <v>204</v>
      </c>
      <c r="C1" s="3" t="s">
        <v>205</v>
      </c>
      <c r="D1" s="3" t="s">
        <v>206</v>
      </c>
      <c r="E1" s="3" t="s">
        <v>207</v>
      </c>
      <c r="F1" s="3" t="s">
        <v>18</v>
      </c>
    </row>
    <row r="2" spans="1:6" ht="27">
      <c r="A2" s="4" t="s">
        <v>24</v>
      </c>
      <c r="B2" s="4" t="s">
        <v>208</v>
      </c>
      <c r="C2" s="4" t="s">
        <v>209</v>
      </c>
      <c r="D2" s="4" t="s">
        <v>210</v>
      </c>
      <c r="E2" s="4" t="s">
        <v>211</v>
      </c>
      <c r="F2" s="4" t="s">
        <v>212</v>
      </c>
    </row>
    <row r="3" spans="1:6" ht="27">
      <c r="A3" s="4" t="s">
        <v>35</v>
      </c>
      <c r="B3" s="4" t="s">
        <v>213</v>
      </c>
      <c r="C3" s="4" t="s">
        <v>214</v>
      </c>
      <c r="D3" s="4" t="s">
        <v>210</v>
      </c>
      <c r="E3" s="4" t="s">
        <v>211</v>
      </c>
      <c r="F3" s="4" t="s">
        <v>215</v>
      </c>
    </row>
    <row r="4" spans="1:6" ht="27">
      <c r="A4" s="4" t="s">
        <v>46</v>
      </c>
      <c r="B4" s="4" t="s">
        <v>216</v>
      </c>
      <c r="C4" s="4" t="s">
        <v>217</v>
      </c>
      <c r="D4" s="4" t="s">
        <v>210</v>
      </c>
      <c r="E4" s="4" t="s">
        <v>211</v>
      </c>
      <c r="F4" s="4" t="s">
        <v>218</v>
      </c>
    </row>
    <row r="5" spans="1:6" ht="27">
      <c r="A5" s="4" t="s">
        <v>51</v>
      </c>
      <c r="B5" s="4" t="s">
        <v>219</v>
      </c>
      <c r="C5" s="4" t="s">
        <v>48</v>
      </c>
      <c r="D5" s="4" t="s">
        <v>220</v>
      </c>
      <c r="E5" s="4" t="s">
        <v>221</v>
      </c>
      <c r="F5" s="4" t="s">
        <v>222</v>
      </c>
    </row>
    <row r="6" spans="1:6" ht="27">
      <c r="A6" s="4" t="s">
        <v>62</v>
      </c>
      <c r="B6" s="4" t="s">
        <v>223</v>
      </c>
      <c r="C6" s="4" t="s">
        <v>224</v>
      </c>
      <c r="D6" s="4" t="s">
        <v>210</v>
      </c>
      <c r="E6" s="4" t="s">
        <v>211</v>
      </c>
      <c r="F6" s="4" t="s">
        <v>225</v>
      </c>
    </row>
    <row r="7" spans="1:6" ht="40.5">
      <c r="A7" s="4" t="s">
        <v>71</v>
      </c>
      <c r="B7" s="4" t="s">
        <v>226</v>
      </c>
      <c r="C7" s="4" t="s">
        <v>227</v>
      </c>
      <c r="D7" s="4" t="s">
        <v>210</v>
      </c>
      <c r="E7" s="4" t="s">
        <v>211</v>
      </c>
      <c r="F7" s="4" t="s">
        <v>228</v>
      </c>
    </row>
    <row r="8" spans="1:6" ht="54">
      <c r="A8" s="4" t="s">
        <v>85</v>
      </c>
      <c r="B8" s="4" t="s">
        <v>229</v>
      </c>
      <c r="C8" s="4" t="s">
        <v>230</v>
      </c>
      <c r="D8" s="4" t="s">
        <v>210</v>
      </c>
      <c r="E8" s="4" t="s">
        <v>211</v>
      </c>
      <c r="F8" s="4" t="s">
        <v>231</v>
      </c>
    </row>
    <row r="9" spans="1:6" ht="27">
      <c r="A9" s="4" t="s">
        <v>97</v>
      </c>
      <c r="B9" s="4" t="s">
        <v>232</v>
      </c>
      <c r="C9" s="4" t="s">
        <v>93</v>
      </c>
      <c r="D9" s="4" t="s">
        <v>210</v>
      </c>
      <c r="E9" s="4" t="s">
        <v>211</v>
      </c>
      <c r="F9" s="4" t="s">
        <v>233</v>
      </c>
    </row>
    <row r="10" spans="1:6" ht="27">
      <c r="A10" s="4" t="s">
        <v>103</v>
      </c>
      <c r="B10" s="4" t="s">
        <v>234</v>
      </c>
      <c r="C10" s="4" t="s">
        <v>235</v>
      </c>
      <c r="D10" s="4" t="s">
        <v>210</v>
      </c>
      <c r="E10" s="4" t="s">
        <v>211</v>
      </c>
      <c r="F10" s="4" t="s">
        <v>236</v>
      </c>
    </row>
    <row r="11" spans="1:6" ht="27">
      <c r="A11" s="4" t="s">
        <v>120</v>
      </c>
      <c r="B11" s="4" t="s">
        <v>237</v>
      </c>
      <c r="C11" s="4" t="s">
        <v>238</v>
      </c>
      <c r="D11" s="4" t="s">
        <v>239</v>
      </c>
      <c r="E11" s="4" t="s">
        <v>240</v>
      </c>
      <c r="F11" s="4" t="s">
        <v>241</v>
      </c>
    </row>
    <row r="12" spans="1:6" ht="27">
      <c r="A12" s="4" t="s">
        <v>132</v>
      </c>
      <c r="B12" s="4" t="s">
        <v>242</v>
      </c>
      <c r="C12" s="4" t="s">
        <v>243</v>
      </c>
      <c r="D12" s="4" t="s">
        <v>210</v>
      </c>
      <c r="E12" s="4" t="s">
        <v>244</v>
      </c>
      <c r="F12" s="4" t="s">
        <v>245</v>
      </c>
    </row>
    <row r="13" spans="1:6" ht="27">
      <c r="A13" s="4" t="s">
        <v>143</v>
      </c>
      <c r="B13" s="4" t="s">
        <v>246</v>
      </c>
      <c r="C13" s="4" t="s">
        <v>139</v>
      </c>
      <c r="D13" s="4" t="s">
        <v>210</v>
      </c>
      <c r="E13" s="4" t="s">
        <v>211</v>
      </c>
      <c r="F13" s="4" t="s">
        <v>247</v>
      </c>
    </row>
    <row r="14" spans="1:6" ht="27">
      <c r="A14" s="4" t="s">
        <v>149</v>
      </c>
      <c r="B14" s="4" t="s">
        <v>248</v>
      </c>
      <c r="C14" s="4" t="s">
        <v>146</v>
      </c>
      <c r="D14" s="4" t="s">
        <v>210</v>
      </c>
      <c r="E14" s="4" t="s">
        <v>211</v>
      </c>
      <c r="F14" s="4" t="s">
        <v>247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J7" sqref="J7"/>
    </sheetView>
  </sheetViews>
  <sheetFormatPr defaultRowHeight="13.5"/>
  <cols>
    <col min="1" max="1" width="15.375" bestFit="1" customWidth="1"/>
    <col min="2" max="2" width="15.0625" bestFit="1" customWidth="1"/>
    <col min="3" max="3" width="8.4375" bestFit="1" customWidth="1"/>
    <col min="4" max="4" width="11.1875" bestFit="1" customWidth="1"/>
    <col min="5" max="5" width="23" bestFit="1" customWidth="1"/>
  </cols>
  <sheetData>
    <row r="1" spans="1:5" ht="13.9">
      <c r="A1" s="3" t="s">
        <v>249</v>
      </c>
      <c r="B1" s="3" t="s">
        <v>250</v>
      </c>
      <c r="C1" s="3" t="s">
        <v>251</v>
      </c>
      <c r="D1" s="3" t="s">
        <v>252</v>
      </c>
      <c r="E1" s="3" t="s">
        <v>18</v>
      </c>
    </row>
    <row r="2" spans="1:5" ht="27">
      <c r="A2" s="4" t="s">
        <v>253</v>
      </c>
      <c r="B2" s="4" t="s">
        <v>254</v>
      </c>
      <c r="C2" s="4" t="s">
        <v>255</v>
      </c>
      <c r="D2" s="4" t="s">
        <v>256</v>
      </c>
      <c r="E2" s="4" t="s">
        <v>257</v>
      </c>
    </row>
    <row r="3" spans="1:5">
      <c r="A3" s="4" t="s">
        <v>258</v>
      </c>
      <c r="B3" s="4" t="s">
        <v>12</v>
      </c>
      <c r="C3" s="4" t="s">
        <v>255</v>
      </c>
      <c r="D3" s="4" t="s">
        <v>256</v>
      </c>
      <c r="E3" s="4"/>
    </row>
    <row r="4" spans="1:5" ht="27">
      <c r="A4" s="4" t="s">
        <v>259</v>
      </c>
      <c r="B4" s="4" t="s">
        <v>260</v>
      </c>
      <c r="C4" s="4" t="s">
        <v>255</v>
      </c>
      <c r="D4" s="4" t="s">
        <v>261</v>
      </c>
      <c r="E4" s="4" t="s">
        <v>262</v>
      </c>
    </row>
    <row r="5" spans="1:5">
      <c r="A5" s="4" t="s">
        <v>263</v>
      </c>
      <c r="B5" s="4" t="s">
        <v>264</v>
      </c>
      <c r="C5" s="4" t="s">
        <v>255</v>
      </c>
      <c r="D5" s="4" t="s">
        <v>256</v>
      </c>
      <c r="E5" s="4"/>
    </row>
    <row r="6" spans="1:5">
      <c r="A6" s="4" t="s">
        <v>265</v>
      </c>
      <c r="B6" s="4" t="s">
        <v>266</v>
      </c>
      <c r="C6" s="4" t="s">
        <v>255</v>
      </c>
      <c r="D6" s="4" t="s">
        <v>256</v>
      </c>
      <c r="E6" s="4"/>
    </row>
    <row r="7" spans="1:5" ht="27">
      <c r="A7" s="4" t="s">
        <v>267</v>
      </c>
      <c r="B7" s="4" t="s">
        <v>268</v>
      </c>
      <c r="C7" s="4" t="s">
        <v>255</v>
      </c>
      <c r="D7" s="4" t="s">
        <v>256</v>
      </c>
      <c r="E7" s="4" t="s">
        <v>269</v>
      </c>
    </row>
    <row r="8" spans="1:5">
      <c r="A8" s="4" t="s">
        <v>270</v>
      </c>
      <c r="B8" s="4" t="s">
        <v>271</v>
      </c>
      <c r="C8" s="4" t="s">
        <v>272</v>
      </c>
      <c r="D8" s="4" t="s">
        <v>256</v>
      </c>
      <c r="E8" s="4" t="s">
        <v>273</v>
      </c>
    </row>
    <row r="9" spans="1:5">
      <c r="A9" s="4" t="s">
        <v>274</v>
      </c>
      <c r="B9" s="4" t="s">
        <v>275</v>
      </c>
      <c r="C9" s="4" t="s">
        <v>255</v>
      </c>
      <c r="D9" s="4" t="s">
        <v>256</v>
      </c>
      <c r="E9" s="4" t="s">
        <v>276</v>
      </c>
    </row>
    <row r="10" spans="1:5" ht="40.5">
      <c r="A10" s="4" t="s">
        <v>277</v>
      </c>
      <c r="B10" s="4" t="s">
        <v>278</v>
      </c>
      <c r="C10" s="4" t="s">
        <v>255</v>
      </c>
      <c r="D10" s="4" t="s">
        <v>261</v>
      </c>
      <c r="E10" s="4" t="s">
        <v>279</v>
      </c>
    </row>
    <row r="11" spans="1:5" ht="27">
      <c r="A11" s="4" t="s">
        <v>280</v>
      </c>
      <c r="B11" s="4" t="s">
        <v>281</v>
      </c>
      <c r="C11" s="4" t="s">
        <v>255</v>
      </c>
      <c r="D11" s="4" t="s">
        <v>261</v>
      </c>
      <c r="E11" s="4" t="s">
        <v>282</v>
      </c>
    </row>
    <row r="12" spans="1:5">
      <c r="A12" s="4" t="s">
        <v>283</v>
      </c>
      <c r="B12" s="4" t="s">
        <v>284</v>
      </c>
      <c r="C12" s="4" t="s">
        <v>272</v>
      </c>
      <c r="D12" s="4" t="s">
        <v>261</v>
      </c>
      <c r="E12" s="4" t="s">
        <v>285</v>
      </c>
    </row>
    <row r="13" spans="1:5" ht="27">
      <c r="A13" s="4" t="s">
        <v>286</v>
      </c>
      <c r="B13" s="4" t="s">
        <v>287</v>
      </c>
      <c r="C13" s="4" t="s">
        <v>272</v>
      </c>
      <c r="D13" s="4" t="s">
        <v>288</v>
      </c>
      <c r="E13" s="4" t="s">
        <v>289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defaultRowHeight="13.5"/>
  <cols>
    <col min="1" max="3" width="24" customWidth="1"/>
  </cols>
  <sheetData>
    <row r="1" spans="1:3" ht="13.9">
      <c r="A1" s="3" t="s">
        <v>290</v>
      </c>
      <c r="B1" s="3" t="s">
        <v>291</v>
      </c>
      <c r="C1" s="3" t="s">
        <v>292</v>
      </c>
    </row>
    <row r="2" spans="1:3" ht="27">
      <c r="A2" s="4" t="s">
        <v>293</v>
      </c>
      <c r="B2" s="4" t="s">
        <v>151</v>
      </c>
      <c r="C2" s="4" t="s">
        <v>294</v>
      </c>
    </row>
    <row r="3" spans="1:3" ht="40.5">
      <c r="A3" s="4" t="s">
        <v>295</v>
      </c>
      <c r="B3" s="4" t="s">
        <v>152</v>
      </c>
      <c r="C3" s="4" t="s">
        <v>296</v>
      </c>
    </row>
    <row r="4" spans="1:3" ht="27">
      <c r="A4" s="4" t="s">
        <v>297</v>
      </c>
      <c r="B4" s="4" t="s">
        <v>153</v>
      </c>
      <c r="C4" s="4" t="s">
        <v>298</v>
      </c>
    </row>
    <row r="5" spans="1:3" ht="27">
      <c r="A5" s="4" t="s">
        <v>299</v>
      </c>
      <c r="B5" s="4" t="s">
        <v>154</v>
      </c>
      <c r="C5" s="4" t="s">
        <v>300</v>
      </c>
    </row>
    <row r="6" spans="1:3" ht="27">
      <c r="A6" s="4" t="s">
        <v>301</v>
      </c>
      <c r="B6" s="4" t="s">
        <v>302</v>
      </c>
      <c r="C6" s="4" t="s">
        <v>303</v>
      </c>
    </row>
    <row r="7" spans="1:3" ht="27">
      <c r="A7" s="4" t="s">
        <v>304</v>
      </c>
      <c r="B7" s="4" t="s">
        <v>305</v>
      </c>
      <c r="C7" s="4" t="s">
        <v>306</v>
      </c>
    </row>
    <row r="8" spans="1:3" ht="27">
      <c r="A8" s="4" t="s">
        <v>307</v>
      </c>
      <c r="B8" s="4" t="s">
        <v>308</v>
      </c>
      <c r="C8" s="4" t="s">
        <v>309</v>
      </c>
    </row>
    <row r="9" spans="1:3" ht="40.5">
      <c r="A9" s="4" t="s">
        <v>310</v>
      </c>
      <c r="B9" s="4" t="s">
        <v>311</v>
      </c>
      <c r="C9" s="4" t="s">
        <v>312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D15" sqref="D15"/>
    </sheetView>
  </sheetViews>
  <sheetFormatPr defaultRowHeight="13.5"/>
  <cols>
    <col min="1" max="2" width="24" customWidth="1"/>
  </cols>
  <sheetData>
    <row r="1" spans="1:2" ht="13.9">
      <c r="A1" s="3" t="s">
        <v>313</v>
      </c>
      <c r="B1" s="3" t="s">
        <v>314</v>
      </c>
    </row>
    <row r="2" spans="1:2">
      <c r="A2" s="4" t="s">
        <v>25</v>
      </c>
      <c r="B2" s="4" t="s">
        <v>315</v>
      </c>
    </row>
    <row r="3" spans="1:2" ht="27">
      <c r="A3" s="4" t="s">
        <v>126</v>
      </c>
      <c r="B3" s="4" t="s">
        <v>316</v>
      </c>
    </row>
    <row r="4" spans="1:2" ht="27">
      <c r="A4" s="4" t="s">
        <v>144</v>
      </c>
      <c r="B4" s="4" t="s">
        <v>247</v>
      </c>
    </row>
    <row r="5" spans="1:2">
      <c r="A5" s="4" t="s">
        <v>317</v>
      </c>
      <c r="B5" s="4" t="s">
        <v>318</v>
      </c>
    </row>
    <row r="6" spans="1:2">
      <c r="A6" s="4" t="s">
        <v>319</v>
      </c>
      <c r="B6" s="4" t="s">
        <v>320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workbookViewId="0"/>
  </sheetViews>
  <sheetFormatPr defaultRowHeight="13.5"/>
  <cols>
    <col min="1" max="3" width="24" customWidth="1"/>
  </cols>
  <sheetData>
    <row r="1" spans="1:3" ht="13.9">
      <c r="A1" s="3" t="s">
        <v>321</v>
      </c>
      <c r="B1" s="3" t="s">
        <v>322</v>
      </c>
      <c r="C1" s="3" t="s">
        <v>323</v>
      </c>
    </row>
    <row r="2" spans="1:3">
      <c r="A2" s="4" t="s">
        <v>20</v>
      </c>
      <c r="B2" s="4" t="s">
        <v>324</v>
      </c>
      <c r="C2" s="4" t="s">
        <v>325</v>
      </c>
    </row>
    <row r="3" spans="1:3">
      <c r="A3" s="4" t="s">
        <v>32</v>
      </c>
      <c r="B3" s="4" t="s">
        <v>326</v>
      </c>
      <c r="C3" s="4" t="s">
        <v>325</v>
      </c>
    </row>
    <row r="4" spans="1:3">
      <c r="A4" s="4" t="s">
        <v>43</v>
      </c>
      <c r="B4" s="4" t="s">
        <v>327</v>
      </c>
      <c r="C4" s="4" t="s">
        <v>325</v>
      </c>
    </row>
    <row r="5" spans="1:3" ht="27">
      <c r="A5" s="4" t="s">
        <v>59</v>
      </c>
      <c r="B5" s="4" t="s">
        <v>328</v>
      </c>
      <c r="C5" s="4" t="s">
        <v>325</v>
      </c>
    </row>
    <row r="6" spans="1:3" ht="27">
      <c r="A6" s="4" t="s">
        <v>68</v>
      </c>
      <c r="B6" s="4" t="s">
        <v>329</v>
      </c>
      <c r="C6" s="4" t="s">
        <v>325</v>
      </c>
    </row>
    <row r="7" spans="1:3" ht="27">
      <c r="A7" s="4" t="s">
        <v>82</v>
      </c>
      <c r="B7" s="4" t="s">
        <v>330</v>
      </c>
      <c r="C7" s="4" t="s">
        <v>325</v>
      </c>
    </row>
    <row r="8" spans="1:3" ht="27">
      <c r="A8" s="4" t="s">
        <v>331</v>
      </c>
      <c r="B8" s="4" t="s">
        <v>332</v>
      </c>
      <c r="C8" s="4" t="s">
        <v>325</v>
      </c>
    </row>
    <row r="9" spans="1:3">
      <c r="A9" s="4" t="s">
        <v>116</v>
      </c>
      <c r="B9" s="4" t="s">
        <v>333</v>
      </c>
      <c r="C9" s="4" t="s">
        <v>325</v>
      </c>
    </row>
    <row r="10" spans="1:3" ht="27">
      <c r="A10" s="4" t="s">
        <v>129</v>
      </c>
      <c r="B10" s="4" t="s">
        <v>334</v>
      </c>
      <c r="C10" s="4" t="s">
        <v>325</v>
      </c>
    </row>
    <row r="11" spans="1:3" ht="27">
      <c r="A11" s="4" t="s">
        <v>140</v>
      </c>
      <c r="B11" s="4" t="s">
        <v>335</v>
      </c>
      <c r="C11" s="4" t="s">
        <v>336</v>
      </c>
    </row>
    <row r="12" spans="1:3" ht="27">
      <c r="A12" s="4" t="s">
        <v>147</v>
      </c>
      <c r="B12" s="4" t="s">
        <v>335</v>
      </c>
      <c r="C12" s="4" t="s">
        <v>336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1"/>
  <sheetViews>
    <sheetView workbookViewId="0"/>
  </sheetViews>
  <sheetFormatPr defaultRowHeight="13.5"/>
  <cols>
    <col min="1" max="1" width="5.5" customWidth="1"/>
    <col min="2" max="2" width="27.875" customWidth="1"/>
    <col min="3" max="3" width="9.8125" customWidth="1"/>
    <col min="4" max="4" width="10.375" customWidth="1"/>
    <col min="5" max="5" width="33.75" customWidth="1"/>
    <col min="6" max="6" width="22.5" customWidth="1"/>
    <col min="7" max="7" width="14.9375" customWidth="1"/>
    <col min="8" max="8" width="21.8125" customWidth="1"/>
    <col min="9" max="9" width="12.9375" customWidth="1"/>
    <col min="10" max="10" width="18.4375" customWidth="1"/>
    <col min="11" max="11" width="9.5625" customWidth="1"/>
    <col min="12" max="12" width="15.1875" customWidth="1"/>
    <col min="13" max="13" width="15.5" customWidth="1"/>
    <col min="14" max="14" width="14.6875" customWidth="1"/>
    <col min="15" max="15" width="14.9375" customWidth="1"/>
    <col min="16" max="16" width="16.4375" customWidth="1"/>
    <col min="17" max="17" width="16.6875" customWidth="1"/>
    <col min="18" max="18" width="15.875" customWidth="1"/>
    <col min="19" max="19" width="16.125" customWidth="1"/>
    <col min="20" max="20" width="10.75" customWidth="1"/>
    <col min="21" max="21" width="59.25" customWidth="1"/>
  </cols>
  <sheetData>
    <row r="1" spans="1:21" ht="13.9">
      <c r="A1" s="7" t="s">
        <v>337</v>
      </c>
      <c r="B1" s="7" t="s">
        <v>11</v>
      </c>
      <c r="C1" s="7" t="s">
        <v>338</v>
      </c>
      <c r="D1" s="7" t="s">
        <v>12</v>
      </c>
      <c r="E1" s="7" t="s">
        <v>339</v>
      </c>
      <c r="F1" s="7" t="s">
        <v>340</v>
      </c>
      <c r="G1" s="7" t="s">
        <v>341</v>
      </c>
      <c r="H1" s="7" t="s">
        <v>342</v>
      </c>
      <c r="I1" s="7" t="s">
        <v>343</v>
      </c>
      <c r="J1" s="7" t="s">
        <v>344</v>
      </c>
      <c r="K1" s="7" t="s">
        <v>345</v>
      </c>
      <c r="L1" s="7" t="s">
        <v>346</v>
      </c>
      <c r="M1" s="7" t="s">
        <v>347</v>
      </c>
      <c r="N1" s="7" t="s">
        <v>348</v>
      </c>
      <c r="O1" s="7" t="s">
        <v>349</v>
      </c>
      <c r="P1" s="7" t="s">
        <v>350</v>
      </c>
      <c r="Q1" s="7" t="s">
        <v>351</v>
      </c>
      <c r="R1" s="7" t="s">
        <v>352</v>
      </c>
      <c r="S1" s="7" t="s">
        <v>353</v>
      </c>
      <c r="T1" s="7" t="s">
        <v>17</v>
      </c>
      <c r="U1" s="7" t="s">
        <v>354</v>
      </c>
    </row>
    <row r="2" spans="1:21" ht="27">
      <c r="A2" s="4">
        <v>1</v>
      </c>
      <c r="B2" s="4" t="s">
        <v>355</v>
      </c>
      <c r="C2" s="4" t="s">
        <v>356</v>
      </c>
      <c r="D2" s="4" t="s">
        <v>94</v>
      </c>
      <c r="E2" s="4" t="s">
        <v>94</v>
      </c>
      <c r="F2" s="4" t="s">
        <v>357</v>
      </c>
      <c r="G2" s="4" t="s">
        <v>358</v>
      </c>
      <c r="H2" s="4"/>
      <c r="I2" s="4"/>
      <c r="J2" s="8" t="s">
        <v>359</v>
      </c>
      <c r="K2" s="8" t="s">
        <v>360</v>
      </c>
      <c r="L2" s="8" t="s">
        <v>361</v>
      </c>
      <c r="M2" s="8" t="s">
        <v>362</v>
      </c>
      <c r="N2" s="8" t="s">
        <v>363</v>
      </c>
      <c r="O2" s="8" t="s">
        <v>364</v>
      </c>
      <c r="P2" s="8" t="s">
        <v>365</v>
      </c>
      <c r="Q2" s="8" t="s">
        <v>366</v>
      </c>
      <c r="R2" s="8" t="s">
        <v>367</v>
      </c>
      <c r="S2" s="8" t="s">
        <v>368</v>
      </c>
      <c r="T2" s="4" t="s">
        <v>369</v>
      </c>
      <c r="U2" s="4" t="s">
        <v>370</v>
      </c>
    </row>
    <row r="3" spans="1:21" ht="27">
      <c r="A3" s="4">
        <v>2</v>
      </c>
      <c r="B3" s="4" t="s">
        <v>371</v>
      </c>
      <c r="C3" s="4" t="s">
        <v>372</v>
      </c>
      <c r="D3" s="4" t="s">
        <v>94</v>
      </c>
      <c r="E3" s="4" t="s">
        <v>373</v>
      </c>
      <c r="F3" s="4" t="s">
        <v>357</v>
      </c>
      <c r="G3" s="4" t="s">
        <v>374</v>
      </c>
      <c r="H3" s="4" t="s">
        <v>375</v>
      </c>
      <c r="I3" s="4"/>
      <c r="J3" s="8" t="s">
        <v>376</v>
      </c>
      <c r="K3" s="8" t="s">
        <v>377</v>
      </c>
      <c r="L3" s="8" t="s">
        <v>378</v>
      </c>
      <c r="M3" s="8" t="s">
        <v>379</v>
      </c>
      <c r="N3" s="8" t="s">
        <v>380</v>
      </c>
      <c r="O3" s="8" t="s">
        <v>381</v>
      </c>
      <c r="P3" s="8" t="s">
        <v>382</v>
      </c>
      <c r="Q3" s="8" t="s">
        <v>383</v>
      </c>
      <c r="R3" s="8" t="s">
        <v>384</v>
      </c>
      <c r="S3" s="8" t="s">
        <v>385</v>
      </c>
      <c r="T3" s="4" t="s">
        <v>369</v>
      </c>
      <c r="U3" s="4" t="s">
        <v>386</v>
      </c>
    </row>
    <row r="4" spans="1:21" ht="27">
      <c r="A4" s="4">
        <v>3</v>
      </c>
      <c r="B4" s="4" t="s">
        <v>387</v>
      </c>
      <c r="C4" s="4" t="s">
        <v>388</v>
      </c>
      <c r="D4" s="4" t="s">
        <v>94</v>
      </c>
      <c r="E4" s="4" t="s">
        <v>389</v>
      </c>
      <c r="F4" s="4" t="s">
        <v>357</v>
      </c>
      <c r="G4" s="4" t="s">
        <v>374</v>
      </c>
      <c r="H4" s="4" t="s">
        <v>390</v>
      </c>
      <c r="I4" s="4"/>
      <c r="J4" s="8" t="s">
        <v>391</v>
      </c>
      <c r="K4" s="8" t="s">
        <v>392</v>
      </c>
      <c r="L4" s="8" t="s">
        <v>393</v>
      </c>
      <c r="M4" s="8" t="s">
        <v>394</v>
      </c>
      <c r="N4" s="8" t="s">
        <v>395</v>
      </c>
      <c r="O4" s="8" t="s">
        <v>396</v>
      </c>
      <c r="P4" s="8" t="s">
        <v>361</v>
      </c>
      <c r="Q4" s="8" t="s">
        <v>362</v>
      </c>
      <c r="R4" s="8" t="s">
        <v>397</v>
      </c>
      <c r="S4" s="8" t="s">
        <v>398</v>
      </c>
      <c r="T4" s="4" t="s">
        <v>369</v>
      </c>
      <c r="U4" s="4" t="s">
        <v>386</v>
      </c>
    </row>
    <row r="5" spans="1:21">
      <c r="A5" s="4">
        <v>4</v>
      </c>
      <c r="B5" s="4" t="s">
        <v>115</v>
      </c>
      <c r="C5" s="4" t="s">
        <v>399</v>
      </c>
      <c r="D5" s="4" t="s">
        <v>116</v>
      </c>
      <c r="E5" s="4" t="s">
        <v>116</v>
      </c>
      <c r="F5" s="4" t="s">
        <v>117</v>
      </c>
      <c r="G5" s="4" t="s">
        <v>118</v>
      </c>
      <c r="H5" s="4"/>
      <c r="I5" s="4"/>
      <c r="J5" s="8" t="s">
        <v>400</v>
      </c>
      <c r="K5" s="8" t="s">
        <v>401</v>
      </c>
      <c r="L5" s="8" t="s">
        <v>402</v>
      </c>
      <c r="M5" s="8" t="s">
        <v>403</v>
      </c>
      <c r="N5" s="8" t="s">
        <v>404</v>
      </c>
      <c r="O5" s="8" t="s">
        <v>405</v>
      </c>
      <c r="P5" s="8" t="s">
        <v>365</v>
      </c>
      <c r="Q5" s="8" t="s">
        <v>366</v>
      </c>
      <c r="R5" s="8" t="s">
        <v>406</v>
      </c>
      <c r="S5" s="8" t="s">
        <v>407</v>
      </c>
      <c r="T5" s="4" t="s">
        <v>369</v>
      </c>
      <c r="U5" s="4" t="s">
        <v>386</v>
      </c>
    </row>
    <row r="6" spans="1:21">
      <c r="A6" s="4">
        <v>5</v>
      </c>
      <c r="B6" s="4" t="s">
        <v>122</v>
      </c>
      <c r="C6" s="4" t="s">
        <v>408</v>
      </c>
      <c r="D6" s="4" t="s">
        <v>116</v>
      </c>
      <c r="E6" s="4" t="s">
        <v>409</v>
      </c>
      <c r="F6" s="4" t="s">
        <v>117</v>
      </c>
      <c r="G6" s="4" t="s">
        <v>410</v>
      </c>
      <c r="H6" s="4"/>
      <c r="I6" s="4"/>
      <c r="J6" s="8" t="s">
        <v>411</v>
      </c>
      <c r="K6" s="8" t="s">
        <v>412</v>
      </c>
      <c r="L6" s="8" t="s">
        <v>413</v>
      </c>
      <c r="M6" s="8" t="s">
        <v>414</v>
      </c>
      <c r="N6" s="8" t="s">
        <v>415</v>
      </c>
      <c r="O6" s="8" t="s">
        <v>416</v>
      </c>
      <c r="P6" s="8" t="s">
        <v>365</v>
      </c>
      <c r="Q6" s="8" t="s">
        <v>366</v>
      </c>
      <c r="R6" s="8" t="s">
        <v>417</v>
      </c>
      <c r="S6" s="8" t="s">
        <v>418</v>
      </c>
      <c r="T6" s="4" t="s">
        <v>369</v>
      </c>
      <c r="U6" s="4" t="s">
        <v>386</v>
      </c>
    </row>
    <row r="7" spans="1:21" ht="27">
      <c r="A7" s="4">
        <v>6</v>
      </c>
      <c r="B7" s="4" t="s">
        <v>81</v>
      </c>
      <c r="C7" s="4" t="s">
        <v>419</v>
      </c>
      <c r="D7" s="4" t="s">
        <v>82</v>
      </c>
      <c r="E7" s="4" t="s">
        <v>82</v>
      </c>
      <c r="F7" s="4" t="s">
        <v>420</v>
      </c>
      <c r="G7" s="4" t="s">
        <v>44</v>
      </c>
      <c r="H7" s="4"/>
      <c r="I7" s="4"/>
      <c r="J7" s="8" t="s">
        <v>421</v>
      </c>
      <c r="K7" s="8" t="s">
        <v>422</v>
      </c>
      <c r="L7" s="8" t="s">
        <v>402</v>
      </c>
      <c r="M7" s="8" t="s">
        <v>403</v>
      </c>
      <c r="N7" s="8" t="s">
        <v>423</v>
      </c>
      <c r="O7" s="8" t="s">
        <v>424</v>
      </c>
      <c r="P7" s="8" t="s">
        <v>425</v>
      </c>
      <c r="Q7" s="8" t="s">
        <v>426</v>
      </c>
      <c r="R7" s="8" t="s">
        <v>427</v>
      </c>
      <c r="S7" s="8" t="s">
        <v>428</v>
      </c>
      <c r="T7" s="4" t="s">
        <v>369</v>
      </c>
      <c r="U7" s="4" t="s">
        <v>386</v>
      </c>
    </row>
    <row r="8" spans="1:21" ht="27">
      <c r="A8" s="4">
        <v>7</v>
      </c>
      <c r="B8" s="4" t="s">
        <v>429</v>
      </c>
      <c r="C8" s="4" t="s">
        <v>430</v>
      </c>
      <c r="D8" s="4" t="s">
        <v>100</v>
      </c>
      <c r="E8" s="4" t="s">
        <v>100</v>
      </c>
      <c r="F8" s="4" t="s">
        <v>420</v>
      </c>
      <c r="G8" s="4" t="s">
        <v>431</v>
      </c>
      <c r="H8" s="4"/>
      <c r="I8" s="4"/>
      <c r="J8" s="8" t="s">
        <v>432</v>
      </c>
      <c r="K8" s="8" t="s">
        <v>433</v>
      </c>
      <c r="L8" s="8" t="s">
        <v>434</v>
      </c>
      <c r="M8" s="8" t="s">
        <v>435</v>
      </c>
      <c r="N8" s="8" t="s">
        <v>436</v>
      </c>
      <c r="O8" s="8" t="s">
        <v>437</v>
      </c>
      <c r="P8" s="8" t="s">
        <v>438</v>
      </c>
      <c r="Q8" s="8" t="s">
        <v>439</v>
      </c>
      <c r="R8" s="8" t="s">
        <v>440</v>
      </c>
      <c r="S8" s="8" t="s">
        <v>441</v>
      </c>
      <c r="T8" s="4" t="s">
        <v>369</v>
      </c>
      <c r="U8" s="4" t="s">
        <v>386</v>
      </c>
    </row>
    <row r="9" spans="1:21" ht="27">
      <c r="A9" s="4">
        <v>8</v>
      </c>
      <c r="B9" s="4" t="s">
        <v>128</v>
      </c>
      <c r="C9" s="4" t="s">
        <v>442</v>
      </c>
      <c r="D9" s="4" t="s">
        <v>129</v>
      </c>
      <c r="E9" s="4" t="s">
        <v>129</v>
      </c>
      <c r="F9" s="4" t="s">
        <v>357</v>
      </c>
      <c r="G9" s="4" t="s">
        <v>130</v>
      </c>
      <c r="H9" s="4"/>
      <c r="I9" s="4"/>
      <c r="J9" s="8" t="s">
        <v>443</v>
      </c>
      <c r="K9" s="8" t="s">
        <v>444</v>
      </c>
      <c r="L9" s="8" t="s">
        <v>445</v>
      </c>
      <c r="M9" s="8" t="s">
        <v>446</v>
      </c>
      <c r="N9" s="8" t="s">
        <v>447</v>
      </c>
      <c r="O9" s="8" t="s">
        <v>448</v>
      </c>
      <c r="P9" s="8" t="s">
        <v>449</v>
      </c>
      <c r="Q9" s="8" t="s">
        <v>450</v>
      </c>
      <c r="R9" s="8" t="s">
        <v>451</v>
      </c>
      <c r="S9" s="8" t="s">
        <v>452</v>
      </c>
      <c r="T9" s="4" t="s">
        <v>369</v>
      </c>
      <c r="U9" s="4" t="s">
        <v>386</v>
      </c>
    </row>
    <row r="10" spans="1:21" ht="27">
      <c r="A10" s="4">
        <v>9</v>
      </c>
      <c r="B10" s="4" t="s">
        <v>111</v>
      </c>
      <c r="C10" s="4" t="s">
        <v>453</v>
      </c>
      <c r="D10" s="4" t="s">
        <v>112</v>
      </c>
      <c r="E10" s="4" t="s">
        <v>454</v>
      </c>
      <c r="F10" s="4" t="s">
        <v>420</v>
      </c>
      <c r="G10" s="4" t="s">
        <v>455</v>
      </c>
      <c r="H10" s="4" t="s">
        <v>456</v>
      </c>
      <c r="I10" s="4"/>
      <c r="J10" s="8" t="s">
        <v>457</v>
      </c>
      <c r="K10" s="8" t="s">
        <v>458</v>
      </c>
      <c r="L10" s="8" t="s">
        <v>459</v>
      </c>
      <c r="M10" s="8" t="s">
        <v>460</v>
      </c>
      <c r="N10" s="8" t="s">
        <v>461</v>
      </c>
      <c r="O10" s="8" t="s">
        <v>462</v>
      </c>
      <c r="P10" s="8" t="s">
        <v>463</v>
      </c>
      <c r="Q10" s="8" t="s">
        <v>464</v>
      </c>
      <c r="R10" s="8" t="s">
        <v>465</v>
      </c>
      <c r="S10" s="8" t="s">
        <v>466</v>
      </c>
      <c r="T10" s="4" t="s">
        <v>369</v>
      </c>
      <c r="U10" s="4" t="s">
        <v>386</v>
      </c>
    </row>
    <row r="11" spans="1:21">
      <c r="A11" s="4">
        <v>10</v>
      </c>
      <c r="B11" s="4" t="s">
        <v>467</v>
      </c>
      <c r="C11" s="4" t="s">
        <v>468</v>
      </c>
      <c r="D11" s="4" t="s">
        <v>20</v>
      </c>
      <c r="E11" s="4" t="s">
        <v>469</v>
      </c>
      <c r="F11" s="4" t="s">
        <v>21</v>
      </c>
      <c r="G11" s="4" t="s">
        <v>470</v>
      </c>
      <c r="H11" s="4" t="s">
        <v>471</v>
      </c>
      <c r="I11" s="4" t="s">
        <v>472</v>
      </c>
      <c r="J11" s="8" t="s">
        <v>473</v>
      </c>
      <c r="K11" s="8" t="s">
        <v>474</v>
      </c>
      <c r="L11" s="8" t="s">
        <v>475</v>
      </c>
      <c r="M11" s="8" t="s">
        <v>476</v>
      </c>
      <c r="N11" s="8" t="s">
        <v>477</v>
      </c>
      <c r="O11" s="8" t="s">
        <v>478</v>
      </c>
      <c r="P11" s="8" t="s">
        <v>479</v>
      </c>
      <c r="Q11" s="8" t="s">
        <v>480</v>
      </c>
      <c r="R11" s="8" t="s">
        <v>481</v>
      </c>
      <c r="S11" s="8" t="s">
        <v>482</v>
      </c>
      <c r="T11" s="4" t="s">
        <v>369</v>
      </c>
      <c r="U11" s="4" t="s">
        <v>386</v>
      </c>
    </row>
    <row r="12" spans="1:21">
      <c r="A12" s="4">
        <v>11</v>
      </c>
      <c r="B12" s="4" t="s">
        <v>483</v>
      </c>
      <c r="C12" s="4" t="s">
        <v>484</v>
      </c>
      <c r="D12" s="4" t="s">
        <v>20</v>
      </c>
      <c r="E12" s="4" t="s">
        <v>485</v>
      </c>
      <c r="F12" s="4" t="s">
        <v>54</v>
      </c>
      <c r="G12" s="4" t="s">
        <v>486</v>
      </c>
      <c r="H12" s="4"/>
      <c r="I12" s="4" t="s">
        <v>472</v>
      </c>
      <c r="J12" s="8" t="s">
        <v>487</v>
      </c>
      <c r="K12" s="8" t="s">
        <v>488</v>
      </c>
      <c r="L12" s="8" t="s">
        <v>489</v>
      </c>
      <c r="M12" s="8" t="s">
        <v>490</v>
      </c>
      <c r="N12" s="8" t="s">
        <v>491</v>
      </c>
      <c r="O12" s="8" t="s">
        <v>492</v>
      </c>
      <c r="P12" s="8" t="s">
        <v>493</v>
      </c>
      <c r="Q12" s="8" t="s">
        <v>494</v>
      </c>
      <c r="R12" s="8" t="s">
        <v>495</v>
      </c>
      <c r="S12" s="8" t="s">
        <v>496</v>
      </c>
      <c r="T12" s="4" t="s">
        <v>369</v>
      </c>
      <c r="U12" s="4" t="s">
        <v>386</v>
      </c>
    </row>
    <row r="13" spans="1:21">
      <c r="A13" s="4">
        <v>12</v>
      </c>
      <c r="B13" s="4" t="s">
        <v>497</v>
      </c>
      <c r="C13" s="4" t="s">
        <v>498</v>
      </c>
      <c r="D13" s="4" t="s">
        <v>20</v>
      </c>
      <c r="E13" s="4" t="s">
        <v>499</v>
      </c>
      <c r="F13" s="4" t="s">
        <v>21</v>
      </c>
      <c r="G13" s="4" t="s">
        <v>500</v>
      </c>
      <c r="H13" s="4" t="s">
        <v>501</v>
      </c>
      <c r="I13" s="4" t="s">
        <v>472</v>
      </c>
      <c r="J13" s="8" t="s">
        <v>502</v>
      </c>
      <c r="K13" s="8" t="s">
        <v>503</v>
      </c>
      <c r="L13" s="8" t="s">
        <v>504</v>
      </c>
      <c r="M13" s="8" t="s">
        <v>505</v>
      </c>
      <c r="N13" s="8" t="s">
        <v>506</v>
      </c>
      <c r="O13" s="8" t="s">
        <v>507</v>
      </c>
      <c r="P13" s="8" t="s">
        <v>393</v>
      </c>
      <c r="Q13" s="8" t="s">
        <v>508</v>
      </c>
      <c r="R13" s="8" t="s">
        <v>509</v>
      </c>
      <c r="S13" s="8" t="s">
        <v>510</v>
      </c>
      <c r="T13" s="4" t="s">
        <v>369</v>
      </c>
      <c r="U13" s="4" t="s">
        <v>386</v>
      </c>
    </row>
    <row r="14" spans="1:21" ht="27">
      <c r="A14" s="4">
        <v>13</v>
      </c>
      <c r="B14" s="4" t="s">
        <v>511</v>
      </c>
      <c r="C14" s="4" t="s">
        <v>512</v>
      </c>
      <c r="D14" s="4" t="s">
        <v>20</v>
      </c>
      <c r="E14" s="4" t="s">
        <v>513</v>
      </c>
      <c r="F14" s="4" t="s">
        <v>21</v>
      </c>
      <c r="G14" s="4" t="s">
        <v>500</v>
      </c>
      <c r="H14" s="4" t="s">
        <v>514</v>
      </c>
      <c r="I14" s="4" t="s">
        <v>472</v>
      </c>
      <c r="J14" s="8" t="s">
        <v>515</v>
      </c>
      <c r="K14" s="8" t="s">
        <v>516</v>
      </c>
      <c r="L14" s="8" t="s">
        <v>517</v>
      </c>
      <c r="M14" s="8" t="s">
        <v>518</v>
      </c>
      <c r="N14" s="8" t="s">
        <v>519</v>
      </c>
      <c r="O14" s="8" t="s">
        <v>520</v>
      </c>
      <c r="P14" s="8" t="s">
        <v>434</v>
      </c>
      <c r="Q14" s="8" t="s">
        <v>521</v>
      </c>
      <c r="R14" s="8" t="s">
        <v>522</v>
      </c>
      <c r="S14" s="8" t="s">
        <v>523</v>
      </c>
      <c r="T14" s="4" t="s">
        <v>369</v>
      </c>
      <c r="U14" s="4" t="s">
        <v>386</v>
      </c>
    </row>
    <row r="15" spans="1:21">
      <c r="A15" s="4">
        <v>14</v>
      </c>
      <c r="B15" s="4" t="s">
        <v>524</v>
      </c>
      <c r="C15" s="4" t="s">
        <v>525</v>
      </c>
      <c r="D15" s="4" t="s">
        <v>20</v>
      </c>
      <c r="E15" s="4" t="s">
        <v>526</v>
      </c>
      <c r="F15" s="4" t="s">
        <v>21</v>
      </c>
      <c r="G15" s="4" t="s">
        <v>470</v>
      </c>
      <c r="H15" s="4" t="s">
        <v>471</v>
      </c>
      <c r="I15" s="4" t="s">
        <v>527</v>
      </c>
      <c r="J15" s="8" t="s">
        <v>528</v>
      </c>
      <c r="K15" s="8" t="s">
        <v>529</v>
      </c>
      <c r="L15" s="8" t="s">
        <v>489</v>
      </c>
      <c r="M15" s="8" t="s">
        <v>490</v>
      </c>
      <c r="N15" s="8" t="s">
        <v>530</v>
      </c>
      <c r="O15" s="8" t="s">
        <v>531</v>
      </c>
      <c r="P15" s="8" t="s">
        <v>493</v>
      </c>
      <c r="Q15" s="8" t="s">
        <v>532</v>
      </c>
      <c r="R15" s="8" t="s">
        <v>533</v>
      </c>
      <c r="S15" s="8" t="s">
        <v>534</v>
      </c>
      <c r="T15" s="4" t="s">
        <v>369</v>
      </c>
      <c r="U15" s="4" t="s">
        <v>386</v>
      </c>
    </row>
    <row r="16" spans="1:21" ht="27">
      <c r="A16" s="4">
        <v>15</v>
      </c>
      <c r="B16" s="4" t="s">
        <v>535</v>
      </c>
      <c r="C16" s="4" t="s">
        <v>536</v>
      </c>
      <c r="D16" s="4" t="s">
        <v>20</v>
      </c>
      <c r="E16" s="4" t="s">
        <v>537</v>
      </c>
      <c r="F16" s="4" t="s">
        <v>21</v>
      </c>
      <c r="G16" s="4" t="s">
        <v>500</v>
      </c>
      <c r="H16" s="4" t="s">
        <v>538</v>
      </c>
      <c r="I16" s="4" t="s">
        <v>472</v>
      </c>
      <c r="J16" s="8" t="s">
        <v>539</v>
      </c>
      <c r="K16" s="8" t="s">
        <v>540</v>
      </c>
      <c r="L16" s="8" t="s">
        <v>541</v>
      </c>
      <c r="M16" s="8" t="s">
        <v>542</v>
      </c>
      <c r="N16" s="8" t="s">
        <v>543</v>
      </c>
      <c r="O16" s="8" t="s">
        <v>544</v>
      </c>
      <c r="P16" s="8" t="s">
        <v>402</v>
      </c>
      <c r="Q16" s="8" t="s">
        <v>403</v>
      </c>
      <c r="R16" s="8" t="s">
        <v>545</v>
      </c>
      <c r="S16" s="8" t="s">
        <v>546</v>
      </c>
      <c r="T16" s="4" t="s">
        <v>369</v>
      </c>
      <c r="U16" s="4" t="s">
        <v>386</v>
      </c>
    </row>
    <row r="17" spans="1:21">
      <c r="A17" s="4">
        <v>16</v>
      </c>
      <c r="B17" s="4" t="s">
        <v>42</v>
      </c>
      <c r="C17" s="4" t="s">
        <v>547</v>
      </c>
      <c r="D17" s="4" t="s">
        <v>43</v>
      </c>
      <c r="E17" s="4" t="s">
        <v>548</v>
      </c>
      <c r="F17" s="4" t="s">
        <v>21</v>
      </c>
      <c r="G17" s="4" t="s">
        <v>44</v>
      </c>
      <c r="H17" s="4"/>
      <c r="I17" s="4"/>
      <c r="J17" s="8" t="s">
        <v>549</v>
      </c>
      <c r="K17" s="8" t="s">
        <v>550</v>
      </c>
      <c r="L17" s="8" t="s">
        <v>551</v>
      </c>
      <c r="M17" s="8" t="s">
        <v>552</v>
      </c>
      <c r="N17" s="8" t="s">
        <v>553</v>
      </c>
      <c r="O17" s="8" t="s">
        <v>554</v>
      </c>
      <c r="P17" s="8" t="s">
        <v>555</v>
      </c>
      <c r="Q17" s="8" t="s">
        <v>556</v>
      </c>
      <c r="R17" s="8" t="s">
        <v>557</v>
      </c>
      <c r="S17" s="8" t="s">
        <v>558</v>
      </c>
      <c r="T17" s="4" t="s">
        <v>369</v>
      </c>
      <c r="U17" s="4" t="s">
        <v>386</v>
      </c>
    </row>
    <row r="18" spans="1:21">
      <c r="A18" s="4">
        <v>17</v>
      </c>
      <c r="B18" s="4" t="s">
        <v>48</v>
      </c>
      <c r="C18" s="4" t="s">
        <v>559</v>
      </c>
      <c r="D18" s="4" t="s">
        <v>43</v>
      </c>
      <c r="E18" s="4" t="s">
        <v>560</v>
      </c>
      <c r="F18" s="4" t="s">
        <v>21</v>
      </c>
      <c r="G18" s="4" t="s">
        <v>561</v>
      </c>
      <c r="H18" s="4"/>
      <c r="I18" s="4"/>
      <c r="J18" s="8" t="s">
        <v>562</v>
      </c>
      <c r="K18" s="8" t="s">
        <v>563</v>
      </c>
      <c r="L18" s="8" t="s">
        <v>555</v>
      </c>
      <c r="M18" s="8" t="s">
        <v>564</v>
      </c>
      <c r="N18" s="8" t="s">
        <v>565</v>
      </c>
      <c r="O18" s="8" t="s">
        <v>566</v>
      </c>
      <c r="P18" s="8" t="s">
        <v>493</v>
      </c>
      <c r="Q18" s="8" t="s">
        <v>532</v>
      </c>
      <c r="R18" s="8" t="s">
        <v>567</v>
      </c>
      <c r="S18" s="8" t="s">
        <v>568</v>
      </c>
      <c r="T18" s="4" t="s">
        <v>369</v>
      </c>
      <c r="U18" s="4" t="s">
        <v>386</v>
      </c>
    </row>
    <row r="19" spans="1:21">
      <c r="A19" s="4">
        <v>18</v>
      </c>
      <c r="B19" s="4" t="s">
        <v>569</v>
      </c>
      <c r="C19" s="4" t="s">
        <v>570</v>
      </c>
      <c r="D19" s="4" t="s">
        <v>59</v>
      </c>
      <c r="E19" s="4" t="s">
        <v>571</v>
      </c>
      <c r="F19" s="4" t="s">
        <v>21</v>
      </c>
      <c r="G19" s="4" t="s">
        <v>572</v>
      </c>
      <c r="H19" s="4" t="s">
        <v>573</v>
      </c>
      <c r="I19" s="4"/>
      <c r="J19" s="8" t="s">
        <v>574</v>
      </c>
      <c r="K19" s="8" t="s">
        <v>575</v>
      </c>
      <c r="L19" s="8" t="s">
        <v>489</v>
      </c>
      <c r="M19" s="8" t="s">
        <v>576</v>
      </c>
      <c r="N19" s="8" t="s">
        <v>577</v>
      </c>
      <c r="O19" s="8" t="s">
        <v>578</v>
      </c>
      <c r="P19" s="8" t="s">
        <v>479</v>
      </c>
      <c r="Q19" s="8" t="s">
        <v>579</v>
      </c>
      <c r="R19" s="8" t="s">
        <v>580</v>
      </c>
      <c r="S19" s="8" t="s">
        <v>581</v>
      </c>
      <c r="T19" s="4" t="s">
        <v>369</v>
      </c>
      <c r="U19" s="4" t="s">
        <v>386</v>
      </c>
    </row>
    <row r="20" spans="1:21">
      <c r="A20" s="4">
        <v>19</v>
      </c>
      <c r="B20" s="4" t="s">
        <v>582</v>
      </c>
      <c r="C20" s="4" t="s">
        <v>583</v>
      </c>
      <c r="D20" s="4" t="s">
        <v>59</v>
      </c>
      <c r="E20" s="4" t="s">
        <v>584</v>
      </c>
      <c r="F20" s="4" t="s">
        <v>21</v>
      </c>
      <c r="G20" s="4" t="s">
        <v>585</v>
      </c>
      <c r="H20" s="4" t="s">
        <v>586</v>
      </c>
      <c r="I20" s="4"/>
      <c r="J20" s="8" t="s">
        <v>587</v>
      </c>
      <c r="K20" s="8" t="s">
        <v>588</v>
      </c>
      <c r="L20" s="8" t="s">
        <v>589</v>
      </c>
      <c r="M20" s="8" t="s">
        <v>590</v>
      </c>
      <c r="N20" s="8" t="s">
        <v>591</v>
      </c>
      <c r="O20" s="8" t="s">
        <v>592</v>
      </c>
      <c r="P20" s="8" t="s">
        <v>593</v>
      </c>
      <c r="Q20" s="8" t="s">
        <v>594</v>
      </c>
      <c r="R20" s="8" t="s">
        <v>595</v>
      </c>
      <c r="S20" s="8" t="s">
        <v>596</v>
      </c>
      <c r="T20" s="4" t="s">
        <v>369</v>
      </c>
      <c r="U20" s="4" t="s">
        <v>386</v>
      </c>
    </row>
    <row r="21" spans="1:21">
      <c r="A21" s="4">
        <v>20</v>
      </c>
      <c r="B21" s="4" t="s">
        <v>597</v>
      </c>
      <c r="C21" s="4" t="s">
        <v>598</v>
      </c>
      <c r="D21" s="4" t="s">
        <v>32</v>
      </c>
      <c r="E21" s="4" t="s">
        <v>599</v>
      </c>
      <c r="F21" s="4" t="s">
        <v>600</v>
      </c>
      <c r="G21" s="4" t="s">
        <v>44</v>
      </c>
      <c r="H21" s="4"/>
      <c r="I21" s="4"/>
      <c r="J21" s="8" t="s">
        <v>601</v>
      </c>
      <c r="K21" s="8" t="s">
        <v>602</v>
      </c>
      <c r="L21" s="8" t="s">
        <v>603</v>
      </c>
      <c r="M21" s="8" t="s">
        <v>604</v>
      </c>
      <c r="N21" s="8" t="s">
        <v>605</v>
      </c>
      <c r="O21" s="8" t="s">
        <v>606</v>
      </c>
      <c r="P21" s="8" t="s">
        <v>493</v>
      </c>
      <c r="Q21" s="8" t="s">
        <v>532</v>
      </c>
      <c r="R21" s="8" t="s">
        <v>607</v>
      </c>
      <c r="S21" s="8" t="s">
        <v>608</v>
      </c>
      <c r="T21" s="4" t="s">
        <v>369</v>
      </c>
      <c r="U21" s="4" t="s">
        <v>386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0"/>
  <sheetViews>
    <sheetView workbookViewId="0"/>
  </sheetViews>
  <sheetFormatPr defaultRowHeight="13.5"/>
  <cols>
    <col min="1" max="1" width="27.875" customWidth="1"/>
    <col min="2" max="2" width="9.8125" customWidth="1"/>
    <col min="3" max="3" width="10.375" customWidth="1"/>
    <col min="4" max="4" width="33.75" customWidth="1"/>
    <col min="5" max="5" width="22.5" customWidth="1"/>
    <col min="6" max="6" width="21.8125" customWidth="1"/>
    <col min="7" max="7" width="14.5625" customWidth="1"/>
    <col min="8" max="8" width="11.4375" customWidth="1"/>
    <col min="9" max="9" width="14.375" customWidth="1"/>
    <col min="10" max="10" width="15.1875" customWidth="1"/>
    <col min="11" max="11" width="15.5" customWidth="1"/>
    <col min="12" max="12" width="21" customWidth="1"/>
    <col min="13" max="13" width="16.4375" customWidth="1"/>
    <col min="14" max="14" width="16.6875" customWidth="1"/>
    <col min="15" max="15" width="22.1875" customWidth="1"/>
    <col min="16" max="16" width="11.6875" customWidth="1"/>
    <col min="17" max="17" width="47.125" customWidth="1"/>
  </cols>
  <sheetData>
    <row r="1" spans="1:17" ht="13.9">
      <c r="A1" s="9" t="s">
        <v>11</v>
      </c>
      <c r="B1" s="9" t="s">
        <v>338</v>
      </c>
      <c r="C1" s="9" t="s">
        <v>12</v>
      </c>
      <c r="D1" s="9" t="s">
        <v>339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609</v>
      </c>
      <c r="J1" s="9" t="s">
        <v>346</v>
      </c>
      <c r="K1" s="9" t="s">
        <v>347</v>
      </c>
      <c r="L1" s="9" t="s">
        <v>610</v>
      </c>
      <c r="M1" s="9" t="s">
        <v>350</v>
      </c>
      <c r="N1" s="9" t="s">
        <v>351</v>
      </c>
      <c r="O1" s="9" t="s">
        <v>611</v>
      </c>
      <c r="P1" s="9" t="s">
        <v>17</v>
      </c>
      <c r="Q1" s="9" t="s">
        <v>18</v>
      </c>
    </row>
    <row r="2" spans="1:17">
      <c r="A2" s="4" t="s">
        <v>355</v>
      </c>
      <c r="B2" s="4" t="s">
        <v>356</v>
      </c>
      <c r="C2" s="4" t="s">
        <v>94</v>
      </c>
      <c r="D2" s="4" t="s">
        <v>94</v>
      </c>
      <c r="E2" s="4" t="s">
        <v>357</v>
      </c>
      <c r="F2" s="4" t="s">
        <v>358</v>
      </c>
      <c r="G2" s="4"/>
      <c r="H2" s="4"/>
      <c r="I2" s="8" t="s">
        <v>359</v>
      </c>
      <c r="J2" s="10" t="s">
        <v>361</v>
      </c>
      <c r="K2" s="8" t="s">
        <v>362</v>
      </c>
      <c r="L2" s="8" t="s">
        <v>364</v>
      </c>
      <c r="M2" s="10" t="s">
        <v>365</v>
      </c>
      <c r="N2" s="8" t="s">
        <v>366</v>
      </c>
      <c r="O2" s="8" t="s">
        <v>368</v>
      </c>
      <c r="P2" s="4" t="s">
        <v>369</v>
      </c>
      <c r="Q2" s="4"/>
    </row>
    <row r="3" spans="1:17" ht="27">
      <c r="A3" s="4" t="s">
        <v>371</v>
      </c>
      <c r="B3" s="4" t="s">
        <v>372</v>
      </c>
      <c r="C3" s="4" t="s">
        <v>94</v>
      </c>
      <c r="D3" s="4" t="s">
        <v>373</v>
      </c>
      <c r="E3" s="4" t="s">
        <v>357</v>
      </c>
      <c r="F3" s="4" t="s">
        <v>375</v>
      </c>
      <c r="G3" s="4"/>
      <c r="H3" s="4"/>
      <c r="I3" s="8" t="s">
        <v>376</v>
      </c>
      <c r="J3" s="10" t="s">
        <v>378</v>
      </c>
      <c r="K3" s="8" t="s">
        <v>379</v>
      </c>
      <c r="L3" s="8" t="s">
        <v>381</v>
      </c>
      <c r="M3" s="10" t="s">
        <v>382</v>
      </c>
      <c r="N3" s="8" t="s">
        <v>383</v>
      </c>
      <c r="O3" s="8" t="s">
        <v>385</v>
      </c>
      <c r="P3" s="4" t="s">
        <v>369</v>
      </c>
      <c r="Q3" s="4"/>
    </row>
    <row r="4" spans="1:17" ht="27">
      <c r="A4" s="4" t="s">
        <v>387</v>
      </c>
      <c r="B4" s="4" t="s">
        <v>388</v>
      </c>
      <c r="C4" s="4" t="s">
        <v>94</v>
      </c>
      <c r="D4" s="4" t="s">
        <v>389</v>
      </c>
      <c r="E4" s="4" t="s">
        <v>357</v>
      </c>
      <c r="F4" s="4" t="s">
        <v>390</v>
      </c>
      <c r="G4" s="4"/>
      <c r="H4" s="4"/>
      <c r="I4" s="8" t="s">
        <v>391</v>
      </c>
      <c r="J4" s="10" t="s">
        <v>393</v>
      </c>
      <c r="K4" s="8" t="s">
        <v>394</v>
      </c>
      <c r="L4" s="8" t="s">
        <v>396</v>
      </c>
      <c r="M4" s="10" t="s">
        <v>361</v>
      </c>
      <c r="N4" s="8" t="s">
        <v>362</v>
      </c>
      <c r="O4" s="8" t="s">
        <v>398</v>
      </c>
      <c r="P4" s="4" t="s">
        <v>369</v>
      </c>
      <c r="Q4" s="4"/>
    </row>
    <row r="5" spans="1:17" ht="27">
      <c r="A5" s="4" t="s">
        <v>115</v>
      </c>
      <c r="B5" s="4" t="s">
        <v>399</v>
      </c>
      <c r="C5" s="4" t="s">
        <v>116</v>
      </c>
      <c r="D5" s="4" t="s">
        <v>116</v>
      </c>
      <c r="E5" s="4" t="s">
        <v>117</v>
      </c>
      <c r="F5" s="4" t="s">
        <v>118</v>
      </c>
      <c r="G5" s="4" t="s">
        <v>119</v>
      </c>
      <c r="H5" s="4" t="s">
        <v>120</v>
      </c>
      <c r="I5" s="8" t="s">
        <v>400</v>
      </c>
      <c r="J5" s="10" t="s">
        <v>402</v>
      </c>
      <c r="K5" s="8" t="s">
        <v>403</v>
      </c>
      <c r="L5" s="8" t="s">
        <v>405</v>
      </c>
      <c r="M5" s="10" t="s">
        <v>365</v>
      </c>
      <c r="N5" s="8" t="s">
        <v>366</v>
      </c>
      <c r="O5" s="8" t="s">
        <v>407</v>
      </c>
      <c r="P5" s="4" t="s">
        <v>25</v>
      </c>
      <c r="Q5" s="4" t="s">
        <v>121</v>
      </c>
    </row>
    <row r="6" spans="1:17" ht="27">
      <c r="A6" s="4" t="s">
        <v>122</v>
      </c>
      <c r="B6" s="4" t="s">
        <v>408</v>
      </c>
      <c r="C6" s="4" t="s">
        <v>116</v>
      </c>
      <c r="D6" s="4" t="s">
        <v>409</v>
      </c>
      <c r="E6" s="4" t="s">
        <v>117</v>
      </c>
      <c r="F6" s="4" t="s">
        <v>410</v>
      </c>
      <c r="G6" s="4" t="s">
        <v>125</v>
      </c>
      <c r="H6" s="4" t="s">
        <v>120</v>
      </c>
      <c r="I6" s="8" t="s">
        <v>411</v>
      </c>
      <c r="J6" s="10" t="s">
        <v>413</v>
      </c>
      <c r="K6" s="8" t="s">
        <v>414</v>
      </c>
      <c r="L6" s="8" t="s">
        <v>416</v>
      </c>
      <c r="M6" s="10" t="s">
        <v>365</v>
      </c>
      <c r="N6" s="8" t="s">
        <v>366</v>
      </c>
      <c r="O6" s="8" t="s">
        <v>418</v>
      </c>
      <c r="P6" s="4" t="s">
        <v>126</v>
      </c>
      <c r="Q6" s="4" t="s">
        <v>127</v>
      </c>
    </row>
    <row r="7" spans="1:17" ht="27">
      <c r="A7" s="4" t="s">
        <v>81</v>
      </c>
      <c r="B7" s="4" t="s">
        <v>419</v>
      </c>
      <c r="C7" s="4" t="s">
        <v>82</v>
      </c>
      <c r="D7" s="4" t="s">
        <v>82</v>
      </c>
      <c r="E7" s="4" t="s">
        <v>420</v>
      </c>
      <c r="F7" s="4" t="s">
        <v>44</v>
      </c>
      <c r="G7" s="4" t="s">
        <v>84</v>
      </c>
      <c r="H7" s="4" t="s">
        <v>85</v>
      </c>
      <c r="I7" s="8" t="s">
        <v>421</v>
      </c>
      <c r="J7" s="10" t="s">
        <v>402</v>
      </c>
      <c r="K7" s="8" t="s">
        <v>403</v>
      </c>
      <c r="L7" s="8" t="s">
        <v>424</v>
      </c>
      <c r="M7" s="10" t="s">
        <v>425</v>
      </c>
      <c r="N7" s="8" t="s">
        <v>426</v>
      </c>
      <c r="O7" s="8" t="s">
        <v>428</v>
      </c>
      <c r="P7" s="4" t="s">
        <v>25</v>
      </c>
      <c r="Q7" s="4" t="s">
        <v>86</v>
      </c>
    </row>
    <row r="8" spans="1:17" ht="27">
      <c r="A8" s="4" t="s">
        <v>429</v>
      </c>
      <c r="B8" s="4" t="s">
        <v>430</v>
      </c>
      <c r="C8" s="4" t="s">
        <v>100</v>
      </c>
      <c r="D8" s="4" t="s">
        <v>100</v>
      </c>
      <c r="E8" s="4" t="s">
        <v>420</v>
      </c>
      <c r="F8" s="4" t="s">
        <v>431</v>
      </c>
      <c r="G8" s="4"/>
      <c r="H8" s="4"/>
      <c r="I8" s="8" t="s">
        <v>432</v>
      </c>
      <c r="J8" s="10" t="s">
        <v>434</v>
      </c>
      <c r="K8" s="8" t="s">
        <v>435</v>
      </c>
      <c r="L8" s="8" t="s">
        <v>437</v>
      </c>
      <c r="M8" s="10" t="s">
        <v>438</v>
      </c>
      <c r="N8" s="8" t="s">
        <v>439</v>
      </c>
      <c r="O8" s="8" t="s">
        <v>441</v>
      </c>
      <c r="P8" s="4" t="s">
        <v>369</v>
      </c>
      <c r="Q8" s="4"/>
    </row>
    <row r="9" spans="1:17" ht="27">
      <c r="A9" s="4" t="s">
        <v>128</v>
      </c>
      <c r="B9" s="4" t="s">
        <v>442</v>
      </c>
      <c r="C9" s="4" t="s">
        <v>129</v>
      </c>
      <c r="D9" s="4" t="s">
        <v>129</v>
      </c>
      <c r="E9" s="4" t="s">
        <v>357</v>
      </c>
      <c r="F9" s="4" t="s">
        <v>130</v>
      </c>
      <c r="G9" s="4" t="s">
        <v>131</v>
      </c>
      <c r="H9" s="4" t="s">
        <v>132</v>
      </c>
      <c r="I9" s="8" t="s">
        <v>443</v>
      </c>
      <c r="J9" s="10" t="s">
        <v>445</v>
      </c>
      <c r="K9" s="8" t="s">
        <v>446</v>
      </c>
      <c r="L9" s="8" t="s">
        <v>448</v>
      </c>
      <c r="M9" s="10" t="s">
        <v>449</v>
      </c>
      <c r="N9" s="8" t="s">
        <v>450</v>
      </c>
      <c r="O9" s="8" t="s">
        <v>452</v>
      </c>
      <c r="P9" s="4" t="s">
        <v>25</v>
      </c>
      <c r="Q9" s="4" t="s">
        <v>133</v>
      </c>
    </row>
    <row r="10" spans="1:17" ht="27">
      <c r="A10" s="4" t="s">
        <v>111</v>
      </c>
      <c r="B10" s="4" t="s">
        <v>453</v>
      </c>
      <c r="C10" s="4" t="s">
        <v>112</v>
      </c>
      <c r="D10" s="4" t="s">
        <v>454</v>
      </c>
      <c r="E10" s="4" t="s">
        <v>420</v>
      </c>
      <c r="F10" s="4" t="s">
        <v>456</v>
      </c>
      <c r="G10" s="4" t="s">
        <v>114</v>
      </c>
      <c r="H10" s="4" t="s">
        <v>85</v>
      </c>
      <c r="I10" s="8" t="s">
        <v>457</v>
      </c>
      <c r="J10" s="10" t="s">
        <v>459</v>
      </c>
      <c r="K10" s="8" t="s">
        <v>460</v>
      </c>
      <c r="L10" s="8" t="s">
        <v>462</v>
      </c>
      <c r="M10" s="10" t="s">
        <v>463</v>
      </c>
      <c r="N10" s="8" t="s">
        <v>464</v>
      </c>
      <c r="O10" s="8" t="s">
        <v>466</v>
      </c>
      <c r="P10" s="4" t="s">
        <v>25</v>
      </c>
      <c r="Q10" s="4" t="s">
        <v>104</v>
      </c>
    </row>
    <row r="11" spans="1:17">
      <c r="A11" s="4" t="s">
        <v>467</v>
      </c>
      <c r="B11" s="4" t="s">
        <v>468</v>
      </c>
      <c r="C11" s="4" t="s">
        <v>20</v>
      </c>
      <c r="D11" s="4" t="s">
        <v>469</v>
      </c>
      <c r="E11" s="4" t="s">
        <v>21</v>
      </c>
      <c r="F11" s="4" t="s">
        <v>471</v>
      </c>
      <c r="G11" s="4" t="s">
        <v>23</v>
      </c>
      <c r="H11" s="4" t="s">
        <v>24</v>
      </c>
      <c r="I11" s="8" t="s">
        <v>473</v>
      </c>
      <c r="J11" s="10" t="s">
        <v>475</v>
      </c>
      <c r="K11" s="8" t="s">
        <v>476</v>
      </c>
      <c r="L11" s="8" t="s">
        <v>478</v>
      </c>
      <c r="M11" s="10" t="s">
        <v>479</v>
      </c>
      <c r="N11" s="8" t="s">
        <v>480</v>
      </c>
      <c r="O11" s="8" t="s">
        <v>482</v>
      </c>
      <c r="P11" s="4" t="s">
        <v>25</v>
      </c>
      <c r="Q11" s="4" t="s">
        <v>26</v>
      </c>
    </row>
    <row r="12" spans="1:17">
      <c r="A12" s="4" t="s">
        <v>483</v>
      </c>
      <c r="B12" s="4" t="s">
        <v>484</v>
      </c>
      <c r="C12" s="4" t="s">
        <v>20</v>
      </c>
      <c r="D12" s="4" t="s">
        <v>485</v>
      </c>
      <c r="E12" s="4" t="s">
        <v>54</v>
      </c>
      <c r="F12" s="4" t="s">
        <v>486</v>
      </c>
      <c r="G12" s="4"/>
      <c r="H12" s="4"/>
      <c r="I12" s="8" t="s">
        <v>487</v>
      </c>
      <c r="J12" s="10" t="s">
        <v>489</v>
      </c>
      <c r="K12" s="8" t="s">
        <v>490</v>
      </c>
      <c r="L12" s="8" t="s">
        <v>492</v>
      </c>
      <c r="M12" s="10" t="s">
        <v>493</v>
      </c>
      <c r="N12" s="8" t="s">
        <v>494</v>
      </c>
      <c r="O12" s="8" t="s">
        <v>496</v>
      </c>
      <c r="P12" s="4" t="s">
        <v>369</v>
      </c>
      <c r="Q12" s="4"/>
    </row>
    <row r="13" spans="1:17">
      <c r="A13" s="4" t="s">
        <v>497</v>
      </c>
      <c r="B13" s="4" t="s">
        <v>498</v>
      </c>
      <c r="C13" s="4" t="s">
        <v>20</v>
      </c>
      <c r="D13" s="4" t="s">
        <v>499</v>
      </c>
      <c r="E13" s="4" t="s">
        <v>21</v>
      </c>
      <c r="F13" s="4" t="s">
        <v>501</v>
      </c>
      <c r="G13" s="4" t="s">
        <v>29</v>
      </c>
      <c r="H13" s="4" t="s">
        <v>24</v>
      </c>
      <c r="I13" s="8" t="s">
        <v>502</v>
      </c>
      <c r="J13" s="10" t="s">
        <v>504</v>
      </c>
      <c r="K13" s="8" t="s">
        <v>505</v>
      </c>
      <c r="L13" s="8" t="s">
        <v>507</v>
      </c>
      <c r="M13" s="10" t="s">
        <v>393</v>
      </c>
      <c r="N13" s="8" t="s">
        <v>508</v>
      </c>
      <c r="O13" s="8" t="s">
        <v>510</v>
      </c>
      <c r="P13" s="4" t="s">
        <v>25</v>
      </c>
      <c r="Q13" s="4" t="s">
        <v>30</v>
      </c>
    </row>
    <row r="14" spans="1:17" ht="27">
      <c r="A14" s="4" t="s">
        <v>511</v>
      </c>
      <c r="B14" s="4" t="s">
        <v>512</v>
      </c>
      <c r="C14" s="4" t="s">
        <v>20</v>
      </c>
      <c r="D14" s="4" t="s">
        <v>513</v>
      </c>
      <c r="E14" s="4" t="s">
        <v>21</v>
      </c>
      <c r="F14" s="4" t="s">
        <v>514</v>
      </c>
      <c r="G14" s="4"/>
      <c r="H14" s="4"/>
      <c r="I14" s="8" t="s">
        <v>515</v>
      </c>
      <c r="J14" s="10" t="s">
        <v>517</v>
      </c>
      <c r="K14" s="8" t="s">
        <v>518</v>
      </c>
      <c r="L14" s="8" t="s">
        <v>520</v>
      </c>
      <c r="M14" s="10" t="s">
        <v>434</v>
      </c>
      <c r="N14" s="8" t="s">
        <v>521</v>
      </c>
      <c r="O14" s="8" t="s">
        <v>523</v>
      </c>
      <c r="P14" s="4" t="s">
        <v>369</v>
      </c>
      <c r="Q14" s="4"/>
    </row>
    <row r="15" spans="1:17">
      <c r="A15" s="4" t="s">
        <v>524</v>
      </c>
      <c r="B15" s="4" t="s">
        <v>525</v>
      </c>
      <c r="C15" s="4" t="s">
        <v>20</v>
      </c>
      <c r="D15" s="4" t="s">
        <v>526</v>
      </c>
      <c r="E15" s="4" t="s">
        <v>21</v>
      </c>
      <c r="F15" s="4" t="s">
        <v>471</v>
      </c>
      <c r="G15" s="4"/>
      <c r="H15" s="4"/>
      <c r="I15" s="8" t="s">
        <v>528</v>
      </c>
      <c r="J15" s="10" t="s">
        <v>489</v>
      </c>
      <c r="K15" s="8" t="s">
        <v>490</v>
      </c>
      <c r="L15" s="8" t="s">
        <v>531</v>
      </c>
      <c r="M15" s="10" t="s">
        <v>493</v>
      </c>
      <c r="N15" s="8" t="s">
        <v>532</v>
      </c>
      <c r="O15" s="8" t="s">
        <v>534</v>
      </c>
      <c r="P15" s="4" t="s">
        <v>369</v>
      </c>
      <c r="Q15" s="4"/>
    </row>
    <row r="16" spans="1:17" ht="27">
      <c r="A16" s="4" t="s">
        <v>535</v>
      </c>
      <c r="B16" s="4" t="s">
        <v>536</v>
      </c>
      <c r="C16" s="4" t="s">
        <v>20</v>
      </c>
      <c r="D16" s="4" t="s">
        <v>537</v>
      </c>
      <c r="E16" s="4" t="s">
        <v>21</v>
      </c>
      <c r="F16" s="4" t="s">
        <v>538</v>
      </c>
      <c r="G16" s="4"/>
      <c r="H16" s="4"/>
      <c r="I16" s="8" t="s">
        <v>539</v>
      </c>
      <c r="J16" s="10" t="s">
        <v>541</v>
      </c>
      <c r="K16" s="8" t="s">
        <v>542</v>
      </c>
      <c r="L16" s="8" t="s">
        <v>544</v>
      </c>
      <c r="M16" s="10" t="s">
        <v>402</v>
      </c>
      <c r="N16" s="8" t="s">
        <v>403</v>
      </c>
      <c r="O16" s="8" t="s">
        <v>546</v>
      </c>
      <c r="P16" s="4" t="s">
        <v>369</v>
      </c>
      <c r="Q16" s="4"/>
    </row>
    <row r="17" spans="1:17">
      <c r="A17" s="4" t="s">
        <v>42</v>
      </c>
      <c r="B17" s="4" t="s">
        <v>547</v>
      </c>
      <c r="C17" s="4" t="s">
        <v>43</v>
      </c>
      <c r="D17" s="4" t="s">
        <v>548</v>
      </c>
      <c r="E17" s="4" t="s">
        <v>21</v>
      </c>
      <c r="F17" s="4" t="s">
        <v>44</v>
      </c>
      <c r="G17" s="4" t="s">
        <v>45</v>
      </c>
      <c r="H17" s="4" t="s">
        <v>46</v>
      </c>
      <c r="I17" s="8" t="s">
        <v>549</v>
      </c>
      <c r="J17" s="10" t="s">
        <v>551</v>
      </c>
      <c r="K17" s="8" t="s">
        <v>552</v>
      </c>
      <c r="L17" s="8" t="s">
        <v>554</v>
      </c>
      <c r="M17" s="10" t="s">
        <v>555</v>
      </c>
      <c r="N17" s="8" t="s">
        <v>556</v>
      </c>
      <c r="O17" s="8" t="s">
        <v>558</v>
      </c>
      <c r="P17" s="4" t="s">
        <v>25</v>
      </c>
      <c r="Q17" s="4" t="s">
        <v>47</v>
      </c>
    </row>
    <row r="18" spans="1:17">
      <c r="A18" s="4" t="s">
        <v>48</v>
      </c>
      <c r="B18" s="4" t="s">
        <v>559</v>
      </c>
      <c r="C18" s="4" t="s">
        <v>43</v>
      </c>
      <c r="D18" s="4" t="s">
        <v>560</v>
      </c>
      <c r="E18" s="4" t="s">
        <v>21</v>
      </c>
      <c r="F18" s="4" t="s">
        <v>561</v>
      </c>
      <c r="G18" s="4" t="s">
        <v>50</v>
      </c>
      <c r="H18" s="4" t="s">
        <v>51</v>
      </c>
      <c r="I18" s="8" t="s">
        <v>562</v>
      </c>
      <c r="J18" s="10" t="s">
        <v>555</v>
      </c>
      <c r="K18" s="8" t="s">
        <v>564</v>
      </c>
      <c r="L18" s="8" t="s">
        <v>566</v>
      </c>
      <c r="M18" s="10" t="s">
        <v>493</v>
      </c>
      <c r="N18" s="8" t="s">
        <v>532</v>
      </c>
      <c r="O18" s="8" t="s">
        <v>568</v>
      </c>
      <c r="P18" s="4" t="s">
        <v>25</v>
      </c>
      <c r="Q18" s="4" t="s">
        <v>52</v>
      </c>
    </row>
    <row r="19" spans="1:17">
      <c r="A19" s="4" t="s">
        <v>569</v>
      </c>
      <c r="B19" s="4" t="s">
        <v>570</v>
      </c>
      <c r="C19" s="4" t="s">
        <v>59</v>
      </c>
      <c r="D19" s="4" t="s">
        <v>571</v>
      </c>
      <c r="E19" s="4" t="s">
        <v>21</v>
      </c>
      <c r="F19" s="4" t="s">
        <v>573</v>
      </c>
      <c r="G19" s="4"/>
      <c r="H19" s="4"/>
      <c r="I19" s="8" t="s">
        <v>574</v>
      </c>
      <c r="J19" s="10" t="s">
        <v>489</v>
      </c>
      <c r="K19" s="8" t="s">
        <v>576</v>
      </c>
      <c r="L19" s="8" t="s">
        <v>578</v>
      </c>
      <c r="M19" s="10" t="s">
        <v>479</v>
      </c>
      <c r="N19" s="8" t="s">
        <v>579</v>
      </c>
      <c r="O19" s="8" t="s">
        <v>581</v>
      </c>
      <c r="P19" s="4" t="s">
        <v>369</v>
      </c>
      <c r="Q19" s="4"/>
    </row>
    <row r="20" spans="1:17">
      <c r="A20" s="4" t="s">
        <v>582</v>
      </c>
      <c r="B20" s="4" t="s">
        <v>583</v>
      </c>
      <c r="C20" s="4" t="s">
        <v>59</v>
      </c>
      <c r="D20" s="4" t="s">
        <v>584</v>
      </c>
      <c r="E20" s="4" t="s">
        <v>21</v>
      </c>
      <c r="F20" s="4" t="s">
        <v>586</v>
      </c>
      <c r="G20" s="4"/>
      <c r="H20" s="4"/>
      <c r="I20" s="8" t="s">
        <v>587</v>
      </c>
      <c r="J20" s="10" t="s">
        <v>589</v>
      </c>
      <c r="K20" s="8" t="s">
        <v>590</v>
      </c>
      <c r="L20" s="8" t="s">
        <v>592</v>
      </c>
      <c r="M20" s="10" t="s">
        <v>593</v>
      </c>
      <c r="N20" s="8" t="s">
        <v>594</v>
      </c>
      <c r="O20" s="8" t="s">
        <v>596</v>
      </c>
      <c r="P20" s="4" t="s">
        <v>369</v>
      </c>
      <c r="Q20" s="4"/>
    </row>
    <row r="21" spans="1:17">
      <c r="A21" s="4" t="s">
        <v>597</v>
      </c>
      <c r="B21" s="4" t="s">
        <v>598</v>
      </c>
      <c r="C21" s="4" t="s">
        <v>32</v>
      </c>
      <c r="D21" s="4" t="s">
        <v>599</v>
      </c>
      <c r="E21" s="4" t="s">
        <v>600</v>
      </c>
      <c r="F21" s="4" t="s">
        <v>44</v>
      </c>
      <c r="G21" s="4"/>
      <c r="H21" s="4"/>
      <c r="I21" s="8" t="s">
        <v>601</v>
      </c>
      <c r="J21" s="10" t="s">
        <v>603</v>
      </c>
      <c r="K21" s="8" t="s">
        <v>604</v>
      </c>
      <c r="L21" s="8" t="s">
        <v>606</v>
      </c>
      <c r="M21" s="10" t="s">
        <v>493</v>
      </c>
      <c r="N21" s="8" t="s">
        <v>532</v>
      </c>
      <c r="O21" s="8" t="s">
        <v>608</v>
      </c>
      <c r="P21" s="4" t="s">
        <v>369</v>
      </c>
      <c r="Q21" s="4"/>
    </row>
    <row r="22" spans="1:17">
      <c r="A22" s="4" t="s">
        <v>19</v>
      </c>
      <c r="B22" s="4"/>
      <c r="C22" s="4" t="s">
        <v>20</v>
      </c>
      <c r="D22" s="4" t="s">
        <v>21</v>
      </c>
      <c r="E22" s="4" t="s">
        <v>21</v>
      </c>
      <c r="F22" s="4" t="s">
        <v>22</v>
      </c>
      <c r="G22" s="4" t="s">
        <v>23</v>
      </c>
      <c r="H22" s="4" t="s">
        <v>24</v>
      </c>
      <c r="I22" s="8"/>
      <c r="J22" s="10"/>
      <c r="K22" s="8"/>
      <c r="L22" s="8"/>
      <c r="M22" s="10"/>
      <c r="N22" s="8"/>
      <c r="O22" s="8"/>
      <c r="P22" s="4" t="s">
        <v>25</v>
      </c>
      <c r="Q22" s="4" t="s">
        <v>26</v>
      </c>
    </row>
    <row r="23" spans="1:17">
      <c r="A23" s="4" t="s">
        <v>27</v>
      </c>
      <c r="B23" s="4"/>
      <c r="C23" s="4" t="s">
        <v>20</v>
      </c>
      <c r="D23" s="4" t="s">
        <v>21</v>
      </c>
      <c r="E23" s="4" t="s">
        <v>21</v>
      </c>
      <c r="F23" s="4" t="s">
        <v>28</v>
      </c>
      <c r="G23" s="4" t="s">
        <v>29</v>
      </c>
      <c r="H23" s="4" t="s">
        <v>24</v>
      </c>
      <c r="I23" s="8"/>
      <c r="J23" s="10"/>
      <c r="K23" s="8"/>
      <c r="L23" s="8"/>
      <c r="M23" s="10"/>
      <c r="N23" s="8"/>
      <c r="O23" s="8"/>
      <c r="P23" s="4" t="s">
        <v>25</v>
      </c>
      <c r="Q23" s="4" t="s">
        <v>30</v>
      </c>
    </row>
    <row r="24" spans="1:17">
      <c r="A24" s="4" t="s">
        <v>31</v>
      </c>
      <c r="B24" s="4"/>
      <c r="C24" s="4" t="s">
        <v>32</v>
      </c>
      <c r="D24" s="4" t="s">
        <v>21</v>
      </c>
      <c r="E24" s="4" t="s">
        <v>21</v>
      </c>
      <c r="F24" s="4" t="s">
        <v>33</v>
      </c>
      <c r="G24" s="4" t="s">
        <v>34</v>
      </c>
      <c r="H24" s="4" t="s">
        <v>35</v>
      </c>
      <c r="I24" s="8"/>
      <c r="J24" s="10"/>
      <c r="K24" s="8"/>
      <c r="L24" s="8"/>
      <c r="M24" s="10"/>
      <c r="N24" s="8"/>
      <c r="O24" s="8"/>
      <c r="P24" s="4" t="s">
        <v>25</v>
      </c>
      <c r="Q24" s="4" t="s">
        <v>36</v>
      </c>
    </row>
    <row r="25" spans="1:17">
      <c r="A25" s="4" t="s">
        <v>37</v>
      </c>
      <c r="B25" s="4"/>
      <c r="C25" s="4" t="s">
        <v>32</v>
      </c>
      <c r="D25" s="4" t="s">
        <v>38</v>
      </c>
      <c r="E25" s="4" t="s">
        <v>38</v>
      </c>
      <c r="F25" s="4" t="s">
        <v>39</v>
      </c>
      <c r="G25" s="4" t="s">
        <v>40</v>
      </c>
      <c r="H25" s="4" t="s">
        <v>35</v>
      </c>
      <c r="I25" s="8"/>
      <c r="J25" s="10"/>
      <c r="K25" s="8"/>
      <c r="L25" s="8"/>
      <c r="M25" s="10"/>
      <c r="N25" s="8"/>
      <c r="O25" s="8"/>
      <c r="P25" s="4" t="s">
        <v>25</v>
      </c>
      <c r="Q25" s="4" t="s">
        <v>41</v>
      </c>
    </row>
    <row r="26" spans="1:17">
      <c r="A26" s="4" t="s">
        <v>53</v>
      </c>
      <c r="B26" s="4"/>
      <c r="C26" s="4" t="s">
        <v>43</v>
      </c>
      <c r="D26" s="4" t="s">
        <v>54</v>
      </c>
      <c r="E26" s="4" t="s">
        <v>54</v>
      </c>
      <c r="F26" s="4" t="s">
        <v>55</v>
      </c>
      <c r="G26" s="4" t="s">
        <v>56</v>
      </c>
      <c r="H26" s="4" t="s">
        <v>46</v>
      </c>
      <c r="I26" s="8"/>
      <c r="J26" s="10"/>
      <c r="K26" s="8"/>
      <c r="L26" s="8"/>
      <c r="M26" s="10"/>
      <c r="N26" s="8"/>
      <c r="O26" s="8"/>
      <c r="P26" s="4" t="s">
        <v>25</v>
      </c>
      <c r="Q26" s="4" t="s">
        <v>57</v>
      </c>
    </row>
    <row r="27" spans="1:17">
      <c r="A27" s="4" t="s">
        <v>58</v>
      </c>
      <c r="B27" s="4"/>
      <c r="C27" s="4" t="s">
        <v>59</v>
      </c>
      <c r="D27" s="4" t="s">
        <v>21</v>
      </c>
      <c r="E27" s="4" t="s">
        <v>21</v>
      </c>
      <c r="F27" s="4" t="s">
        <v>60</v>
      </c>
      <c r="G27" s="4" t="s">
        <v>61</v>
      </c>
      <c r="H27" s="4" t="s">
        <v>62</v>
      </c>
      <c r="I27" s="8"/>
      <c r="J27" s="10"/>
      <c r="K27" s="8"/>
      <c r="L27" s="8"/>
      <c r="M27" s="10"/>
      <c r="N27" s="8"/>
      <c r="O27" s="8"/>
      <c r="P27" s="4" t="s">
        <v>25</v>
      </c>
      <c r="Q27" s="4" t="s">
        <v>63</v>
      </c>
    </row>
    <row r="28" spans="1:17">
      <c r="A28" s="4" t="s">
        <v>64</v>
      </c>
      <c r="B28" s="4"/>
      <c r="C28" s="4" t="s">
        <v>59</v>
      </c>
      <c r="D28" s="4" t="s">
        <v>38</v>
      </c>
      <c r="E28" s="4" t="s">
        <v>38</v>
      </c>
      <c r="F28" s="4" t="s">
        <v>60</v>
      </c>
      <c r="G28" s="4" t="s">
        <v>65</v>
      </c>
      <c r="H28" s="4" t="s">
        <v>62</v>
      </c>
      <c r="I28" s="8"/>
      <c r="J28" s="10"/>
      <c r="K28" s="8"/>
      <c r="L28" s="8"/>
      <c r="M28" s="10"/>
      <c r="N28" s="8"/>
      <c r="O28" s="8"/>
      <c r="P28" s="4" t="s">
        <v>25</v>
      </c>
      <c r="Q28" s="4" t="s">
        <v>66</v>
      </c>
    </row>
    <row r="29" spans="1:17">
      <c r="A29" s="4" t="s">
        <v>67</v>
      </c>
      <c r="B29" s="4"/>
      <c r="C29" s="4" t="s">
        <v>68</v>
      </c>
      <c r="D29" s="4" t="s">
        <v>21</v>
      </c>
      <c r="E29" s="4" t="s">
        <v>21</v>
      </c>
      <c r="F29" s="4" t="s">
        <v>69</v>
      </c>
      <c r="G29" s="4" t="s">
        <v>70</v>
      </c>
      <c r="H29" s="4" t="s">
        <v>71</v>
      </c>
      <c r="I29" s="8"/>
      <c r="J29" s="10"/>
      <c r="K29" s="8"/>
      <c r="L29" s="8"/>
      <c r="M29" s="10"/>
      <c r="N29" s="8"/>
      <c r="O29" s="8"/>
      <c r="P29" s="4" t="s">
        <v>25</v>
      </c>
      <c r="Q29" s="4" t="s">
        <v>72</v>
      </c>
    </row>
    <row r="30" spans="1:17">
      <c r="A30" s="4" t="s">
        <v>73</v>
      </c>
      <c r="B30" s="4"/>
      <c r="C30" s="4" t="s">
        <v>68</v>
      </c>
      <c r="D30" s="4" t="s">
        <v>74</v>
      </c>
      <c r="E30" s="4" t="s">
        <v>74</v>
      </c>
      <c r="F30" s="4" t="s">
        <v>69</v>
      </c>
      <c r="G30" s="4" t="s">
        <v>75</v>
      </c>
      <c r="H30" s="4" t="s">
        <v>71</v>
      </c>
      <c r="I30" s="8"/>
      <c r="J30" s="10"/>
      <c r="K30" s="8"/>
      <c r="L30" s="8"/>
      <c r="M30" s="10"/>
      <c r="N30" s="8"/>
      <c r="O30" s="8"/>
      <c r="P30" s="4" t="s">
        <v>25</v>
      </c>
      <c r="Q30" s="4" t="s">
        <v>76</v>
      </c>
    </row>
    <row r="31" spans="1:17">
      <c r="A31" s="4" t="s">
        <v>77</v>
      </c>
      <c r="B31" s="4"/>
      <c r="C31" s="4" t="s">
        <v>68</v>
      </c>
      <c r="D31" s="4" t="s">
        <v>78</v>
      </c>
      <c r="E31" s="4" t="s">
        <v>78</v>
      </c>
      <c r="F31" s="4" t="s">
        <v>69</v>
      </c>
      <c r="G31" s="4" t="s">
        <v>79</v>
      </c>
      <c r="H31" s="4" t="s">
        <v>71</v>
      </c>
      <c r="I31" s="8"/>
      <c r="J31" s="10"/>
      <c r="K31" s="8"/>
      <c r="L31" s="8"/>
      <c r="M31" s="10"/>
      <c r="N31" s="8"/>
      <c r="O31" s="8"/>
      <c r="P31" s="4" t="s">
        <v>25</v>
      </c>
      <c r="Q31" s="4" t="s">
        <v>80</v>
      </c>
    </row>
    <row r="32" spans="1:17" ht="27">
      <c r="A32" s="4" t="s">
        <v>87</v>
      </c>
      <c r="B32" s="4"/>
      <c r="C32" s="4" t="s">
        <v>82</v>
      </c>
      <c r="D32" s="4" t="s">
        <v>54</v>
      </c>
      <c r="E32" s="4" t="s">
        <v>54</v>
      </c>
      <c r="F32" s="4" t="s">
        <v>83</v>
      </c>
      <c r="G32" s="4" t="s">
        <v>88</v>
      </c>
      <c r="H32" s="4" t="s">
        <v>85</v>
      </c>
      <c r="I32" s="8"/>
      <c r="J32" s="10"/>
      <c r="K32" s="8"/>
      <c r="L32" s="8"/>
      <c r="M32" s="10"/>
      <c r="N32" s="8"/>
      <c r="O32" s="8"/>
      <c r="P32" s="4" t="s">
        <v>25</v>
      </c>
      <c r="Q32" s="4" t="s">
        <v>89</v>
      </c>
    </row>
    <row r="33" spans="1:17" ht="27">
      <c r="A33" s="4" t="s">
        <v>90</v>
      </c>
      <c r="B33" s="4"/>
      <c r="C33" s="4" t="s">
        <v>82</v>
      </c>
      <c r="D33" s="4" t="s">
        <v>38</v>
      </c>
      <c r="E33" s="4" t="s">
        <v>38</v>
      </c>
      <c r="F33" s="4" t="s">
        <v>83</v>
      </c>
      <c r="G33" s="4" t="s">
        <v>91</v>
      </c>
      <c r="H33" s="4" t="s">
        <v>85</v>
      </c>
      <c r="I33" s="8"/>
      <c r="J33" s="10"/>
      <c r="K33" s="8"/>
      <c r="L33" s="8"/>
      <c r="M33" s="10"/>
      <c r="N33" s="8"/>
      <c r="O33" s="8"/>
      <c r="P33" s="4" t="s">
        <v>25</v>
      </c>
      <c r="Q33" s="4" t="s">
        <v>92</v>
      </c>
    </row>
    <row r="34" spans="1:17" ht="27">
      <c r="A34" s="4" t="s">
        <v>93</v>
      </c>
      <c r="B34" s="4"/>
      <c r="C34" s="4" t="s">
        <v>94</v>
      </c>
      <c r="D34" s="4" t="s">
        <v>21</v>
      </c>
      <c r="E34" s="4" t="s">
        <v>21</v>
      </c>
      <c r="F34" s="4" t="s">
        <v>95</v>
      </c>
      <c r="G34" s="4" t="s">
        <v>96</v>
      </c>
      <c r="H34" s="4" t="s">
        <v>97</v>
      </c>
      <c r="I34" s="8"/>
      <c r="J34" s="10"/>
      <c r="K34" s="8"/>
      <c r="L34" s="8"/>
      <c r="M34" s="10"/>
      <c r="N34" s="8"/>
      <c r="O34" s="8"/>
      <c r="P34" s="4" t="s">
        <v>25</v>
      </c>
      <c r="Q34" s="4" t="s">
        <v>98</v>
      </c>
    </row>
    <row r="35" spans="1:17">
      <c r="A35" s="4" t="s">
        <v>99</v>
      </c>
      <c r="B35" s="4"/>
      <c r="C35" s="4" t="s">
        <v>100</v>
      </c>
      <c r="D35" s="4" t="s">
        <v>21</v>
      </c>
      <c r="E35" s="4" t="s">
        <v>21</v>
      </c>
      <c r="F35" s="4" t="s">
        <v>101</v>
      </c>
      <c r="G35" s="4" t="s">
        <v>102</v>
      </c>
      <c r="H35" s="4" t="s">
        <v>103</v>
      </c>
      <c r="I35" s="8"/>
      <c r="J35" s="10"/>
      <c r="K35" s="8"/>
      <c r="L35" s="8"/>
      <c r="M35" s="10"/>
      <c r="N35" s="8"/>
      <c r="O35" s="8"/>
      <c r="P35" s="4" t="s">
        <v>25</v>
      </c>
      <c r="Q35" s="4" t="s">
        <v>104</v>
      </c>
    </row>
    <row r="36" spans="1:17">
      <c r="A36" s="4" t="s">
        <v>105</v>
      </c>
      <c r="B36" s="4"/>
      <c r="C36" s="4" t="s">
        <v>100</v>
      </c>
      <c r="D36" s="4" t="s">
        <v>54</v>
      </c>
      <c r="E36" s="4" t="s">
        <v>54</v>
      </c>
      <c r="F36" s="4" t="s">
        <v>101</v>
      </c>
      <c r="G36" s="4" t="s">
        <v>106</v>
      </c>
      <c r="H36" s="4" t="s">
        <v>103</v>
      </c>
      <c r="I36" s="8"/>
      <c r="J36" s="10"/>
      <c r="K36" s="8"/>
      <c r="L36" s="8"/>
      <c r="M36" s="10"/>
      <c r="N36" s="8"/>
      <c r="O36" s="8"/>
      <c r="P36" s="4" t="s">
        <v>25</v>
      </c>
      <c r="Q36" s="4" t="s">
        <v>107</v>
      </c>
    </row>
    <row r="37" spans="1:17">
      <c r="A37" s="4" t="s">
        <v>108</v>
      </c>
      <c r="B37" s="4"/>
      <c r="C37" s="4" t="s">
        <v>100</v>
      </c>
      <c r="D37" s="4" t="s">
        <v>38</v>
      </c>
      <c r="E37" s="4" t="s">
        <v>38</v>
      </c>
      <c r="F37" s="4" t="s">
        <v>101</v>
      </c>
      <c r="G37" s="4" t="s">
        <v>109</v>
      </c>
      <c r="H37" s="4" t="s">
        <v>103</v>
      </c>
      <c r="I37" s="8"/>
      <c r="J37" s="10"/>
      <c r="K37" s="8"/>
      <c r="L37" s="8"/>
      <c r="M37" s="10"/>
      <c r="N37" s="8"/>
      <c r="O37" s="8"/>
      <c r="P37" s="4" t="s">
        <v>25</v>
      </c>
      <c r="Q37" s="4" t="s">
        <v>110</v>
      </c>
    </row>
    <row r="38" spans="1:17" ht="27">
      <c r="A38" s="4" t="s">
        <v>134</v>
      </c>
      <c r="B38" s="4"/>
      <c r="C38" s="4" t="s">
        <v>129</v>
      </c>
      <c r="D38" s="4" t="s">
        <v>135</v>
      </c>
      <c r="E38" s="4" t="s">
        <v>135</v>
      </c>
      <c r="F38" s="4" t="s">
        <v>136</v>
      </c>
      <c r="G38" s="4" t="s">
        <v>137</v>
      </c>
      <c r="H38" s="4" t="s">
        <v>132</v>
      </c>
      <c r="I38" s="8"/>
      <c r="J38" s="10"/>
      <c r="K38" s="8"/>
      <c r="L38" s="8"/>
      <c r="M38" s="10"/>
      <c r="N38" s="8"/>
      <c r="O38" s="8"/>
      <c r="P38" s="4" t="s">
        <v>25</v>
      </c>
      <c r="Q38" s="4" t="s">
        <v>138</v>
      </c>
    </row>
    <row r="39" spans="1:17" ht="27">
      <c r="A39" s="4" t="s">
        <v>139</v>
      </c>
      <c r="B39" s="4"/>
      <c r="C39" s="4" t="s">
        <v>140</v>
      </c>
      <c r="D39" s="4" t="s">
        <v>21</v>
      </c>
      <c r="E39" s="4" t="s">
        <v>21</v>
      </c>
      <c r="F39" s="4" t="s">
        <v>141</v>
      </c>
      <c r="G39" s="4" t="s">
        <v>142</v>
      </c>
      <c r="H39" s="4" t="s">
        <v>143</v>
      </c>
      <c r="I39" s="8"/>
      <c r="J39" s="10"/>
      <c r="K39" s="8"/>
      <c r="L39" s="8"/>
      <c r="M39" s="10"/>
      <c r="N39" s="8"/>
      <c r="O39" s="8"/>
      <c r="P39" s="4" t="s">
        <v>144</v>
      </c>
      <c r="Q39" s="4" t="s">
        <v>145</v>
      </c>
    </row>
    <row r="40" spans="1:17" ht="27">
      <c r="A40" s="4" t="s">
        <v>146</v>
      </c>
      <c r="B40" s="4"/>
      <c r="C40" s="4" t="s">
        <v>147</v>
      </c>
      <c r="D40" s="4" t="s">
        <v>21</v>
      </c>
      <c r="E40" s="4" t="s">
        <v>21</v>
      </c>
      <c r="F40" s="4" t="s">
        <v>141</v>
      </c>
      <c r="G40" s="4" t="s">
        <v>148</v>
      </c>
      <c r="H40" s="4" t="s">
        <v>149</v>
      </c>
      <c r="I40" s="8"/>
      <c r="J40" s="10"/>
      <c r="K40" s="8"/>
      <c r="L40" s="8"/>
      <c r="M40" s="10"/>
      <c r="N40" s="8"/>
      <c r="O40" s="8"/>
      <c r="P40" s="4" t="s">
        <v>144</v>
      </c>
      <c r="Q40" s="4" t="s">
        <v>145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/>
  </sheetViews>
  <sheetFormatPr defaultRowHeight="13.5"/>
  <cols>
    <col min="1" max="1" width="24.375" customWidth="1"/>
    <col min="2" max="2" width="21.6875" customWidth="1"/>
    <col min="3" max="3" width="19.25" customWidth="1"/>
    <col min="4" max="4" width="33" customWidth="1"/>
  </cols>
  <sheetData>
    <row r="1" spans="1:4" ht="13.9">
      <c r="A1" s="5" t="s">
        <v>354</v>
      </c>
      <c r="B1" s="5" t="s">
        <v>612</v>
      </c>
      <c r="C1" s="5" t="s">
        <v>17</v>
      </c>
      <c r="D1" s="5" t="s">
        <v>18</v>
      </c>
    </row>
    <row r="2" spans="1:4">
      <c r="A2" t="s">
        <v>613</v>
      </c>
      <c r="B2" t="s">
        <v>614</v>
      </c>
      <c r="C2" t="s">
        <v>615</v>
      </c>
      <c r="D2" t="s">
        <v>616</v>
      </c>
    </row>
    <row r="3" spans="1:4">
      <c r="A3" t="s">
        <v>617</v>
      </c>
      <c r="B3" t="s">
        <v>618</v>
      </c>
      <c r="C3" t="s">
        <v>615</v>
      </c>
      <c r="D3" t="s">
        <v>619</v>
      </c>
    </row>
    <row r="4" spans="1:4">
      <c r="A4" t="s">
        <v>620</v>
      </c>
      <c r="B4" t="s">
        <v>621</v>
      </c>
      <c r="C4" t="s">
        <v>622</v>
      </c>
      <c r="D4" t="s">
        <v>623</v>
      </c>
    </row>
    <row r="5" spans="1:4">
      <c r="A5" t="s">
        <v>624</v>
      </c>
      <c r="B5" t="s">
        <v>625</v>
      </c>
      <c r="C5" t="s">
        <v>626</v>
      </c>
      <c r="D5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01_Visa_Code_Master</vt:lpstr>
      <vt:lpstr>02_Checklist_Master</vt:lpstr>
      <vt:lpstr>03_Form_Master</vt:lpstr>
      <vt:lpstr>04_API_CRM_Mapping</vt:lpstr>
      <vt:lpstr>05_Doc_Groups</vt:lpstr>
      <vt:lpstr>06_Status_List</vt:lpstr>
      <vt:lpstr>07_Source_Index</vt:lpstr>
      <vt:lpstr>02_Visa_Price_Master</vt:lpstr>
      <vt:lpstr>00_Master_Sync</vt:lpstr>
      <vt:lpstr>08_Source_Index_Full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2026-06-13T03:26:06Z</dcterms:created>
  <dcterms:modified xsi:type="dcterms:W3CDTF">2026-06-13T03:29:58Z</dcterms:modified>
</cp:coreProperties>
</file>