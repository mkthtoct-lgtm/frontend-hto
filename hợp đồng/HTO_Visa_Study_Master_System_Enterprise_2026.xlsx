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e8472462b4b4bb9" /></Relationships>
</file>

<file path=xl/workbook.xml><?xml version="1.0" encoding="utf-8"?>
<x:workbook xmlns:x="http://schemas.openxmlformats.org/spreadsheetml/2006/main">
  <x:sheets>
    <x:sheet xmlns:r="http://schemas.openxmlformats.org/officeDocument/2006/relationships" name="00_Dashboard" sheetId="1" r:id="R8bc1210f66fe4a10"/>
    <x:sheet xmlns:r="http://schemas.openxmlformats.org/officeDocument/2006/relationships" name="01_Study_Visa_Master" sheetId="2" r:id="Rc59812ae49604670"/>
    <x:sheet xmlns:r="http://schemas.openxmlformats.org/officeDocument/2006/relationships" name="02_Checklist_Master" sheetId="3" r:id="R7805dbf7401f4d96"/>
    <x:sheet xmlns:r="http://schemas.openxmlformats.org/officeDocument/2006/relationships" name="03_Form_Master" sheetId="4" r:id="R6c273fed31cb4d54"/>
    <x:sheet xmlns:r="http://schemas.openxmlformats.org/officeDocument/2006/relationships" name="04_Country_Master" sheetId="5" r:id="R6a9e27835c4f4e23"/>
    <x:sheet xmlns:r="http://schemas.openxmlformats.org/officeDocument/2006/relationships" name="05_School_Partner_Master" sheetId="6" r:id="R1abc166e261e4f83"/>
    <x:sheet xmlns:r="http://schemas.openxmlformats.org/officeDocument/2006/relationships" name="06_Price_Master" sheetId="7" r:id="Rcb3152f8c07344fb"/>
    <x:sheet xmlns:r="http://schemas.openxmlformats.org/officeDocument/2006/relationships" name="07_CRM_API_Mapping" sheetId="8" r:id="Rf11df1f09d694e6e"/>
    <x:sheet xmlns:r="http://schemas.openxmlformats.org/officeDocument/2006/relationships" name="08_Doc_Groups" sheetId="9" r:id="R3b2a501f1fe44480"/>
    <x:sheet xmlns:r="http://schemas.openxmlformats.org/officeDocument/2006/relationships" name="09_Status_List" sheetId="10" r:id="Rd9548d7e95e24333"/>
    <x:sheet xmlns:r="http://schemas.openxmlformats.org/officeDocument/2006/relationships" name="10_Master_Sync" sheetId="11" r:id="R862d20d8f0654a16"/>
    <x:sheet xmlns:r="http://schemas.openxmlformats.org/officeDocument/2006/relationships" name="11_AI_Knowledge" sheetId="12" r:id="R4b410171286a4055"/>
    <x:sheet xmlns:r="http://schemas.openxmlformats.org/officeDocument/2006/relationships" name="12_Source_Index" sheetId="13" r:id="Ra1a095e87a364290"/>
    <x:sheet xmlns:r="http://schemas.openxmlformats.org/officeDocument/2006/relationships" name="99_Lists" sheetId="14" r:id="Rda12d8b22d10441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quot;VND&quot;"/>
    <x:numFmt numFmtId="201" formatCode="0%"/>
    <x:numFmt numFmtId="202" formatCode="0.0%"/>
    <x:numFmt numFmtId="203" formatCode="yyyy-mm-dd"/>
  </x:numFmts>
  <x:fonts count="5">
    <x:font>
      <x:sz val="11"/>
      <x:name val="Carlito"/>
    </x:font>
    <x:font>
      <x:b/>
      <x:sz val="11"/>
      <x:color rgb="FFFFFFFF"/>
      <x:name val="Carlito"/>
    </x:font>
    <x:font>
      <x:b/>
      <x:sz val="16"/>
      <x:color rgb="FFFFFFFF"/>
      <x:name val="Carlito"/>
    </x:font>
    <x:font>
      <x:i/>
      <x:sz val="11"/>
      <x:color rgb="FF1B365D"/>
      <x:name val="Carlito"/>
    </x:font>
    <x:font>
      <x:b/>
      <x:sz val="11"/>
      <x:color rgb="FF1B365D"/>
      <x:name val="Carlito"/>
    </x:font>
  </x:fonts>
  <x:fills count="6">
    <x:fill>
      <x:patternFill patternType="none"/>
    </x:fill>
    <x:fill>
      <x:patternFill patternType="gray125"/>
    </x:fill>
    <x:fill>
      <x:patternFill patternType="solid">
        <x:fgColor rgb="FF1B365D"/>
      </x:patternFill>
    </x:fill>
    <x:fill>
      <x:patternFill patternType="solid">
        <x:fgColor rgb="FFEAF2FB"/>
      </x:patternFill>
    </x:fill>
    <x:fill>
      <x:patternFill patternType="solid">
        <x:fgColor rgb="FFFFF4D6"/>
      </x:patternFill>
    </x:fill>
    <x:fill>
      <x:patternFill patternType="solid">
        <x:fgColor rgb="FF1E5AA8"/>
      </x:patternFill>
    </x:fill>
  </x:fills>
  <x:borders count="2">
    <x:border/>
    <x:border/>
  </x:borders>
  <x:cellStyleXfs count="1">
    <x:xf numFmtId="0" fontId="0" fillId="0" borderId="0"/>
  </x:cellStyleXfs>
  <x:cellXfs count="7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applyAlignment="1">
      <x:alignment vertical="top" wrapText="1"/>
    </x:xf>
    <x:xf numFmtId="200" fontId="0" fillId="0" borderId="1" xfId="0" applyNumberFormat="1" applyFont="1" applyFill="1" applyBorder="1"/>
    <x:xf numFmtId="201" fontId="0" fillId="0" borderId="0"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applyAlignment="1">
      <x:alignment vertical="top" wrapText="1"/>
    </x:xf>
    <x:xf numFmtId="201" fontId="0" fillId="0" borderId="1" xfId="0" applyNumberFormat="1" applyFont="1" applyFill="1" applyBorder="1"/>
    <x:xf numFmtId="202" fontId="0" fillId="0" borderId="0" xfId="0" applyNumberFormat="1" applyFont="1" applyFill="1" applyBorder="1" applyAlignment="1">
      <x:alignment vertical="top" wrapText="1"/>
    </x:xf>
    <x:xf numFmtId="202" fontId="0" fillId="0" borderId="0" xfId="0" applyNumberFormat="1" applyFont="1" applyFill="1" applyBorder="1"/>
    <x:xf numFmtId="202" fontId="0" fillId="0" borderId="1" xfId="0" applyNumberFormat="1" applyFont="1" applyFill="1" applyBorder="1" applyAlignment="1">
      <x:alignment vertical="top" wrapText="1"/>
    </x:xf>
    <x:xf numFmtId="202" fontId="0" fillId="0" borderId="1" xfId="0" applyNumberFormat="1" applyFont="1" applyFill="1" applyBorder="1"/>
    <x:xf numFmtId="203" fontId="0" fillId="0" borderId="0" xfId="0" applyNumberFormat="1" applyFont="1" applyFill="1" applyBorder="1" applyAlignment="1">
      <x:alignment vertical="top" wrapText="1"/>
    </x:xf>
    <x:xf numFmtId="203" fontId="0" fillId="0" borderId="0" xfId="0" applyNumberFormat="1" applyFont="1" applyFill="1" applyBorder="1"/>
    <x:xf numFmtId="203" fontId="0" fillId="0" borderId="1" xfId="0" applyNumberFormat="1" applyFont="1" applyFill="1" applyBorder="1" applyAlignment="1">
      <x:alignment vertical="top" wrapText="1"/>
    </x:xf>
    <x:xf numFmtId="203" fontId="0" fillId="0" borderId="1"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1" xfId="0" applyNumberFormat="1" applyFont="1" applyFill="1" applyBorder="1"/>
    <x:xf numFmtId="0" fontId="4" fillId="3" borderId="1"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horizontal="center"/>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center"/>
    </x:xf>
    <x:xf numFmtId="0" fontId="0" fillId="5" borderId="1" xfId="0" applyNumberFormat="1" applyFont="1" applyFill="1" applyBorder="1"/>
    <x:xf numFmtId="0" fontId="1" fillId="5" borderId="1" xfId="0" applyNumberFormat="1" applyFont="1" applyFill="1" applyBorder="1"/>
    <x:xf numFmtId="0" fontId="1" fillId="5" borderId="1" xfId="0" applyNumberFormat="1" applyFont="1" applyFill="1" applyBorder="1" applyAlignment="1">
      <x:alignment horizontal="center"/>
    </x:xf>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1" fillId="5" borderId="1" xfId="0" applyNumberFormat="1" applyFont="1" applyFill="1" applyBorder="1" applyAlignment="1">
      <x:alignment wrapText="1"/>
    </x:xf>
    <x:xf numFmtId="0" fontId="1" fillId="5" borderId="1" xfId="0" applyNumberFormat="1" applyFont="1" applyFill="1" applyBorder="1" applyAlignment="1">
      <x:alignment horizontal="center" wrapText="1"/>
    </x:xf>
    <x:xf numFmtId="0" fontId="1" fillId="5" borderId="1" xfId="0" applyNumberFormat="1" applyFont="1" applyFill="1" applyBorder="1" applyAlignment="1">
      <x:alignment horizontal="center" vertic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2" fillId="2" borderId="0"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top" wrapText="1"/>
    </x:xf>
    <x:xf numFmtId="0" fontId="1" fillId="2" borderId="1" xfId="0" applyNumberFormat="1" applyFont="1" applyFill="1" applyBorder="1" applyAlignment="1">
      <x:alignment horizontal="center" vertical="top" wrapText="1"/>
    </x:xf>
  </x:cellXfs>
  <x:cellStyles count="1">
    <x:cellStyle name="Normal" xfId="0"/>
  </x:cellStyles>
  <x:dxfs count="6">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FECACA"/>
        </x:patternFill>
      </x:fill>
    </x:dxf>
    <x:dxf>
      <x:fill>
        <x:patternFill patternType="solid">
          <x:bgColor rgb="FFFED7AA"/>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a1d63a37d9c4cc8" /><Relationship Type="http://schemas.openxmlformats.org/officeDocument/2006/relationships/theme" Target="/xl/theme/theme1.xml" Id="R2d5287a39d414c19" /><Relationship Type="http://schemas.openxmlformats.org/officeDocument/2006/relationships/sharedStrings" Target="/xl/sharedStrings.xml" Id="Re5fccefa35ee4a7e" /><Relationship Type="http://schemas.openxmlformats.org/officeDocument/2006/relationships/worksheet" Target="/xl/worksheets/sheet1.xml" Id="R8bc1210f66fe4a10" /><Relationship Type="http://schemas.openxmlformats.org/officeDocument/2006/relationships/worksheet" Target="/xl/worksheets/sheet2.xml" Id="Rc59812ae49604670" /><Relationship Type="http://schemas.openxmlformats.org/officeDocument/2006/relationships/worksheet" Target="/xl/worksheets/sheet3.xml" Id="R7805dbf7401f4d96" /><Relationship Type="http://schemas.openxmlformats.org/officeDocument/2006/relationships/worksheet" Target="/xl/worksheets/sheet4.xml" Id="R6c273fed31cb4d54" /><Relationship Type="http://schemas.openxmlformats.org/officeDocument/2006/relationships/worksheet" Target="/xl/worksheets/sheet5.xml" Id="R6a9e27835c4f4e23" /><Relationship Type="http://schemas.openxmlformats.org/officeDocument/2006/relationships/worksheet" Target="/xl/worksheets/sheet6.xml" Id="R1abc166e261e4f83" /><Relationship Type="http://schemas.openxmlformats.org/officeDocument/2006/relationships/worksheet" Target="/xl/worksheets/sheet7.xml" Id="Rcb3152f8c07344fb" /><Relationship Type="http://schemas.openxmlformats.org/officeDocument/2006/relationships/worksheet" Target="/xl/worksheets/sheet8.xml" Id="Rf11df1f09d694e6e" /><Relationship Type="http://schemas.openxmlformats.org/officeDocument/2006/relationships/worksheet" Target="/xl/worksheets/sheet9.xml" Id="R3b2a501f1fe44480" /><Relationship Type="http://schemas.openxmlformats.org/officeDocument/2006/relationships/worksheet" Target="/xl/worksheets/sheet10.xml" Id="Rd9548d7e95e24333" /><Relationship Type="http://schemas.openxmlformats.org/officeDocument/2006/relationships/worksheet" Target="/xl/worksheets/sheet11.xml" Id="R862d20d8f0654a16" /><Relationship Type="http://schemas.openxmlformats.org/officeDocument/2006/relationships/worksheet" Target="/xl/worksheets/sheet12.xml" Id="R4b410171286a4055" /><Relationship Type="http://schemas.openxmlformats.org/officeDocument/2006/relationships/worksheet" Target="/xl/worksheets/sheet13.xml" Id="Ra1a095e87a364290" /><Relationship Type="http://schemas.openxmlformats.org/officeDocument/2006/relationships/worksheet" Target="/xl/worksheets/sheet14.xml" Id="Rda12d8b22d104419" /></Relationships>
</file>

<file path=xl/drawings/_rels/drawing1.xml.rels>&#65279;<?xml version="1.0" encoding="utf-8"?><Relationships xmlns="http://schemas.openxmlformats.org/package/2006/relationships"><Relationship Type="http://schemas.openxmlformats.org/officeDocument/2006/relationships/chart" Target="/xl/drawings/charts/chart1.xml" Id="Rc9a5a5cb69064bd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Visa Codes by Region</a:t>
            </a:r>
          </a:p>
        </c:rich>
      </c:tx>
      <c:overlay val="0"/>
    </c:title>
    <c:autoTitleDeleted val="0"/>
    <c:plotArea>
      <c:layout/>
      <c:barChart>
        <c:barDir val="col"/>
        <c:varyColors val="0"/>
        <c:ser>
          <c:idx val="0"/>
          <c:order val="0"/>
          <c:tx>
            <c:v>Visa Count</c:v>
          </c:tx>
          <c:cat>
            <c:strRef>
              <c:f>'00_Dashboard'!$G$15:$G$17</c:f>
              <c:strCache>
                <c:ptCount val="0"/>
              </c:strCache>
            </c:strRef>
          </c:cat>
          <c:val>
            <c:numRef>
              <c:f>'00_Dashboard'!$H$15:$H$17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18</xdr:row>
      <xdr:rowOff>0</xdr:rowOff>
    </xdr:from>
    <xdr:to>
      <xdr:col>8</xdr:col>
      <xdr:colOff>0</xdr:colOff>
      <xdr:row>30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9a5a5cb69064bdd"/>
        </a:graphicData>
      </a:graphic>
    </xdr:graphicFrame>
    <xdr:clientData/>
  </xdr:twoCellAnchor>
</xdr:wsDr>
</file>

<file path=xl/tables/table1.xml><?xml version="1.0" encoding="utf-8"?>
<x:table xmlns:x="http://schemas.openxmlformats.org/spreadsheetml/2006/main" id="1" name="StudyVisaMasterTable" displayName="StudyVisaMasterTable" ref="A1:Z34" headerRowCount="1">
  <x:tableColumns count="26">
    <x:tableColumn id="1" name="STT"/>
    <x:tableColumn id="2" name="Region"/>
    <x:tableColumn id="3" name="Country"/>
    <x:tableColumn id="4" name="Country Code"/>
    <x:tableColumn id="5" name="Visa Code Chuẩn"/>
    <x:tableColumn id="6" name="Mã ngắn nội bộ"/>
    <x:tableColumn id="7" name="Visa/Permit Name"/>
    <x:tableColumn id="8" name="Visa/Permit Local Code"/>
    <x:tableColumn id="9" name="Purpose"/>
    <x:tableColumn id="10" name="Type"/>
    <x:tableColumn id="11" name="Level/Bậc học"/>
    <x:tableColumn id="12" name="Thời lượng/Note"/>
    <x:tableColumn id="13" name="Đối tượng chính"/>
    <x:tableColumn id="14" name="Điều kiện học lực/ngôn ngữ gợi ý"/>
    <x:tableColumn id="15" name="Tài chính/Chứng minh tài chính"/>
    <x:tableColumn id="16" name="Form/Platform chính"/>
    <x:tableColumn id="17" name="Cơ quan/Website xử lý"/>
    <x:tableColumn id="18" name="Biometrics/Medical"/>
    <x:tableColumn id="19" name="Thời gian xử lý tham khảo"/>
    <x:tableColumn id="20" name="Quyền làm thêm/Work"/>
    <x:tableColumn id="21" name="Post-study/Pathway note"/>
    <x:tableColumn id="22" name="Risk Note"/>
    <x:tableColumn id="23" name="CRM Pipeline"/>
    <x:tableColumn id="24" name="Status"/>
    <x:tableColumn id="25" name="Priority"/>
    <x:tableColumn id="26" name="Source URL/Note"/>
  </x:tableColumns>
  <x:tableStyleInfo name="TableStyleMedium2" showRowStripes="1"/>
</x:table>
</file>

<file path=xl/tables/table2.xml><?xml version="1.0" encoding="utf-8"?>
<x:table xmlns:x="http://schemas.openxmlformats.org/spreadsheetml/2006/main" id="2" name="StudyChecklistTable" displayName="StudyChecklistTable" ref="A1:J331" headerRowCount="1">
  <x:tableColumns count="10">
    <x:tableColumn id="1" name="Checklist ID"/>
    <x:tableColumn id="2" name="Visa Code Chuẩn"/>
    <x:tableColumn id="3" name="Country"/>
    <x:tableColumn id="4" name="Doc Group"/>
    <x:tableColumn id="5" name="Document Name"/>
    <x:tableColumn id="6" name="Required?"/>
    <x:tableColumn id="7" name="Applicant/Sponsor"/>
    <x:tableColumn id="8" name="Stage"/>
    <x:tableColumn id="9" name="Notes"/>
    <x:tableColumn id="10" name="Template/Form Ref"/>
  </x:tableColumns>
  <x:tableStyleInfo name="TableStyleMedium2" showRowStripes="1"/>
</x:table>
</file>

<file path=xl/tables/table3.xml><?xml version="1.0" encoding="utf-8"?>
<x:table xmlns:x="http://schemas.openxmlformats.org/spreadsheetml/2006/main" id="3" name="StudyFormMasterTable" displayName="StudyFormMasterTable" ref="A1:H12" headerRowCount="1">
  <x:tableColumns count="8">
    <x:tableColumn id="1" name="Form ID"/>
    <x:tableColumn id="2" name="Country"/>
    <x:tableColumn id="3" name="Visa Code/Group"/>
    <x:tableColumn id="4" name="Form/Platform"/>
    <x:tableColumn id="5" name="Purpose"/>
    <x:tableColumn id="6" name="Owner Team"/>
    <x:tableColumn id="7" name="Stage"/>
    <x:tableColumn id="8" name="Official/Source Note"/>
  </x:tableColumns>
  <x:tableStyleInfo name="TableStyleMedium2" showRowStripes="1"/>
</x:table>
</file>

<file path=xl/tables/table4.xml><?xml version="1.0" encoding="utf-8"?>
<x:table xmlns:x="http://schemas.openxmlformats.org/spreadsheetml/2006/main" id="4" name="CountryMasterTable" displayName="CountryMasterTable" ref="A1:K12" headerRowCount="1">
  <x:tableColumns count="11">
    <x:tableColumn id="1" name="Country Code"/>
    <x:tableColumn id="2" name="Country"/>
    <x:tableColumn id="3" name="Region"/>
    <x:tableColumn id="4" name="Main Authority/Portal"/>
    <x:tableColumn id="5" name="VAC/VFS/KVAC"/>
    <x:tableColumn id="6" name="Key Document"/>
    <x:tableColumn id="7" name="Financial Keyword"/>
    <x:tableColumn id="8" name="Interview/Biometrics"/>
    <x:tableColumn id="9" name="Policy Volatility"/>
    <x:tableColumn id="10" name="Internal Owner"/>
    <x:tableColumn id="11" name="Source URL"/>
  </x:tableColumns>
  <x:tableStyleInfo name="TableStyleMedium2" showRowStripes="1"/>
</x:table>
</file>

<file path=xl/tables/table5.xml><?xml version="1.0" encoding="utf-8"?>
<x:table xmlns:x="http://schemas.openxmlformats.org/spreadsheetml/2006/main" id="5" name="SchoolPartnerMasterTable" displayName="SchoolPartnerMasterTable" ref="A1:L10" headerRowCount="1">
  <x:tableColumns count="12">
    <x:tableColumn id="1" name="School ID"/>
    <x:tableColumn id="2" name="Country"/>
    <x:tableColumn id="3" name="Partner/School"/>
    <x:tableColumn id="4" name="Type"/>
    <x:tableColumn id="5" name="Programs"/>
    <x:tableColumn id="6" name="Key Intake"/>
    <x:tableColumn id="7" name="Language Requirement"/>
    <x:tableColumn id="8" name="Deposit/Tuition Note"/>
    <x:tableColumn id="9" name="Dormitory"/>
    <x:tableColumn id="10" name="Risk/Opportunity"/>
    <x:tableColumn id="11" name="HTO Owner"/>
    <x:tableColumn id="12" name="Source/Note"/>
  </x:tableColumns>
  <x:tableStyleInfo name="TableStyleMedium2" showRowStripes="1"/>
</x:table>
</file>

<file path=xl/tables/table6.xml><?xml version="1.0" encoding="utf-8"?>
<x:table xmlns:x="http://schemas.openxmlformats.org/spreadsheetml/2006/main" id="6" name="PriceMasterTable" displayName="PriceMasterTable" ref="A1:U34" headerRowCount="1">
  <x:tableColumns count="21">
    <x:tableColumn id="1" name="STT"/>
    <x:tableColumn id="2" name="Visa Code Chuẩn"/>
    <x:tableColumn id="3" name="Mã ngắn"/>
    <x:tableColumn id="4" name="Country"/>
    <x:tableColumn id="5" name="Product Name"/>
    <x:tableColumn id="6" name="Currency"/>
    <x:tableColumn id="7" name="FX Rate"/>
    <x:tableColumn id="8" name="Net Cost"/>
    <x:tableColumn id="9" name="Agency Price"/>
    <x:tableColumn id="10" name="Retail Price"/>
    <x:tableColumn id="11" name="VAT %"/>
    <x:tableColumn id="12" name="Taxable?"/>
    <x:tableColumn id="13" name="Profit Agency VND"/>
    <x:tableColumn id="14" name="Profit Retail VND"/>
    <x:tableColumn id="15" name="Margin Agency"/>
    <x:tableColumn id="16" name="Margin Retail"/>
    <x:tableColumn id="17" name="Commission Note"/>
    <x:tableColumn id="18" name="Payment Milestone"/>
    <x:tableColumn id="19" name="Price Status"/>
    <x:tableColumn id="20" name="Updated Date"/>
    <x:tableColumn id="21" name="Owner"/>
  </x:tableColumns>
  <x:tableStyleInfo name="TableStyleMedium2" showRowStripes="1"/>
</x:table>
</file>

<file path=xl/tables/table7.xml><?xml version="1.0" encoding="utf-8"?>
<x:table xmlns:x="http://schemas.openxmlformats.org/spreadsheetml/2006/main" id="7" name="CRMMappingTable" displayName="CRMMappingTable" ref="A1:H13" headerRowCount="1">
  <x:tableColumns count="8">
    <x:tableColumn id="1" name="Field Group"/>
    <x:tableColumn id="2" name="CRM/API Field"/>
    <x:tableColumn id="3" name="Excel Source Sheet"/>
    <x:tableColumn id="4" name="Excel Field"/>
    <x:tableColumn id="5" name="Data Type"/>
    <x:tableColumn id="6" name="Required"/>
    <x:tableColumn id="7" name="Example"/>
    <x:tableColumn id="8" name="Mapping Note"/>
  </x:tableColumns>
  <x:tableStyleInfo name="TableStyleMedium2" showRowStripes="1"/>
</x:table>
</file>

<file path=xl/tables/table8.xml><?xml version="1.0" encoding="utf-8"?>
<x:table xmlns:x="http://schemas.openxmlformats.org/spreadsheetml/2006/main" id="8" name="DocGroupsTable" displayName="DocGroupsTable" ref="A1:F10" headerRowCount="1">
  <x:tableColumns count="6">
    <x:tableColumn id="1" name="Doc Group"/>
    <x:tableColumn id="2" name="Vietnamese Name"/>
    <x:tableColumn id="3" name="English Name"/>
    <x:tableColumn id="4" name="Used For"/>
    <x:tableColumn id="5" name="Default Owner"/>
    <x:tableColumn id="6" name="Risk Weight"/>
  </x:tableColumns>
  <x:tableStyleInfo name="TableStyleMedium2" showRowStripes="1"/>
</x:table>
</file>

<file path=xl/tables/table9.xml><?xml version="1.0" encoding="utf-8"?>
<x:table xmlns:x="http://schemas.openxmlformats.org/spreadsheetml/2006/main" id="9" name="StatusListTable" displayName="StatusListTable" ref="A1:F12" headerRowCount="1">
  <x:tableColumns count="6">
    <x:tableColumn id="1" name="Status Code"/>
    <x:tableColumn id="2" name="Status Name"/>
    <x:tableColumn id="3" name="Meaning"/>
    <x:tableColumn id="4" name="Allowed Next Status"/>
    <x:tableColumn id="5" name="CRM Stage"/>
    <x:tableColumn id="6" name="Color Note"/>
  </x:tableColumns>
  <x:tableStyleInfo name="TableStyleMedium2" showRowStripes="1"/>
</x:table>
</file>

<file path=xl/tables/table10.xml><?xml version="1.0" encoding="utf-8"?>
<x:table xmlns:x="http://schemas.openxmlformats.org/spreadsheetml/2006/main" id="10" name="MasterSyncTable" displayName="MasterSyncTable" ref="A1:L7" headerRowCount="1">
  <x:tableColumns count="12">
    <x:tableColumn id="1" name="Sync ID"/>
    <x:tableColumn id="2" name="Object Type"/>
    <x:tableColumn id="3" name="Primary Key"/>
    <x:tableColumn id="4" name="Source Sheet"/>
    <x:tableColumn id="5" name="Target System"/>
    <x:tableColumn id="6" name="Sync Direction"/>
    <x:tableColumn id="7" name="Update Frequency"/>
    <x:tableColumn id="8" name="Validation Rule"/>
    <x:tableColumn id="9" name="Owner"/>
    <x:tableColumn id="10" name="Last Updated"/>
    <x:tableColumn id="11" name="Status"/>
    <x:tableColumn id="12" name="Note"/>
  </x:tableColumns>
  <x:tableStyleInfo name="TableStyleMedium2" showRowStripes="1"/>
</x:table>
</file>

<file path=xl/tables/table11.xml><?xml version="1.0" encoding="utf-8"?>
<x:table xmlns:x="http://schemas.openxmlformats.org/spreadsheetml/2006/main" id="11" name="AIKnowledgeTable" displayName="AIKnowledgeTable" ref="A1:H7" headerRowCount="1">
  <x:tableColumns count="8">
    <x:tableColumn id="1" name="AI Topic ID"/>
    <x:tableColumn id="2" name="Topic Cluster"/>
    <x:tableColumn id="3" name="Question/Prompt mẫu"/>
    <x:tableColumn id="4" name="Approved Answer Base"/>
    <x:tableColumn id="5" name="Primary Source Sheet"/>
    <x:tableColumn id="6" name="Risk/Compliance Note"/>
    <x:tableColumn id="7" name="Last Reviewed"/>
    <x:tableColumn id="8" name="Owner"/>
  </x:tableColumns>
  <x:tableStyleInfo name="TableStyleMedium2" showRowStripes="1"/>
</x:table>
</file>

<file path=xl/tables/table12.xml><?xml version="1.0" encoding="utf-8"?>
<x:table xmlns:x="http://schemas.openxmlformats.org/spreadsheetml/2006/main" id="12" name="SourceIndexTable" displayName="SourceIndexTable" ref="A1:H11" headerRowCount="1">
  <x:tableColumns count="8">
    <x:tableColumn id="1" name="Source ID"/>
    <x:tableColumn id="2" name="Source Type"/>
    <x:tableColumn id="3" name="Source Name"/>
    <x:tableColumn id="4" name="URL/Reference"/>
    <x:tableColumn id="5" name="Reliability"/>
    <x:tableColumn id="6" name="Used For"/>
    <x:tableColumn id="7" name="Verification Status"/>
    <x:tableColumn id="8"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4752c1e51c746ec" /></Relationships>
</file>

<file path=xl/worksheets/_rels/sheet2.xml.rels>&#65279;<?xml version="1.0" encoding="utf-8"?><Relationships xmlns="http://schemas.openxmlformats.org/package/2006/relationships"><Relationship Type="http://schemas.openxmlformats.org/officeDocument/2006/relationships/table" Target="/xl/tables/table1.xml" Id="Rdfd203814737400c" /></Relationships>
</file>

<file path=xl/worksheets/_rels/sheet3.xml.rels>&#65279;<?xml version="1.0" encoding="utf-8"?><Relationships xmlns="http://schemas.openxmlformats.org/package/2006/relationships"><Relationship Type="http://schemas.openxmlformats.org/officeDocument/2006/relationships/table" Target="/xl/tables/table2.xml" Id="Rf6d74af703dc4e77" /></Relationships>
</file>

<file path=xl/worksheets/_rels/sheet4.xml.rels>&#65279;<?xml version="1.0" encoding="utf-8"?><Relationships xmlns="http://schemas.openxmlformats.org/package/2006/relationships"><Relationship Type="http://schemas.openxmlformats.org/officeDocument/2006/relationships/table" Target="/xl/tables/table3.xml" Id="R03a03125fbde4484" /></Relationships>
</file>

<file path=xl/worksheets/_rels/sheet5.xml.rels>&#65279;<?xml version="1.0" encoding="utf-8"?><Relationships xmlns="http://schemas.openxmlformats.org/package/2006/relationships"><Relationship Type="http://schemas.openxmlformats.org/officeDocument/2006/relationships/table" Target="/xl/tables/table4.xml" Id="R4940657f2e79499f" /></Relationships>
</file>

<file path=xl/worksheets/_rels/sheet6.xml.rels>&#65279;<?xml version="1.0" encoding="utf-8"?><Relationships xmlns="http://schemas.openxmlformats.org/package/2006/relationships"><Relationship Type="http://schemas.openxmlformats.org/officeDocument/2006/relationships/table" Target="/xl/tables/table5.xml" Id="R9a53ad63012d4ede" /></Relationships>
</file>

<file path=xl/worksheets/_rels/sheet7.xml.rels>&#65279;<?xml version="1.0" encoding="utf-8"?><Relationships xmlns="http://schemas.openxmlformats.org/package/2006/relationships"><Relationship Type="http://schemas.openxmlformats.org/officeDocument/2006/relationships/table" Target="/xl/tables/table6.xml" Id="Rc815a50c0db64da9" /></Relationships>
</file>

<file path=xl/worksheets/_rels/sheet8.xml.rels>&#65279;<?xml version="1.0" encoding="utf-8"?><Relationships xmlns="http://schemas.openxmlformats.org/package/2006/relationships"><Relationship Type="http://schemas.openxmlformats.org/officeDocument/2006/relationships/table" Target="/xl/tables/table7.xml" Id="R112d58d776aa4ad0" /></Relationships>
</file>

<file path=xl/worksheets/_rels/sheet9.xml.rels>&#65279;<?xml version="1.0" encoding="utf-8"?><Relationships xmlns="http://schemas.openxmlformats.org/package/2006/relationships"><Relationship Type="http://schemas.openxmlformats.org/officeDocument/2006/relationships/table" Target="/xl/tables/table8.xml" Id="R373a9ac51bb54e2c" /></Relationships>
</file>

<file path=xl/worksheets/_rels/sheet10.xml.rels>&#65279;<?xml version="1.0" encoding="utf-8"?><Relationships xmlns="http://schemas.openxmlformats.org/package/2006/relationships"><Relationship Type="http://schemas.openxmlformats.org/officeDocument/2006/relationships/table" Target="/xl/tables/table9.xml" Id="R35f3b29232994211" /></Relationships>
</file>

<file path=xl/worksheets/_rels/sheet11.xml.rels>&#65279;<?xml version="1.0" encoding="utf-8"?><Relationships xmlns="http://schemas.openxmlformats.org/package/2006/relationships"><Relationship Type="http://schemas.openxmlformats.org/officeDocument/2006/relationships/table" Target="/xl/tables/table10.xml" Id="Ra71bc325f9db4f58" /></Relationships>
</file>

<file path=xl/worksheets/_rels/sheet12.xml.rels>&#65279;<?xml version="1.0" encoding="utf-8"?><Relationships xmlns="http://schemas.openxmlformats.org/package/2006/relationships"><Relationship Type="http://schemas.openxmlformats.org/officeDocument/2006/relationships/table" Target="/xl/tables/table11.xml" Id="R77dd90fd68eb4142" /></Relationships>
</file>

<file path=xl/worksheets/_rels/sheet13.xml.rels>&#65279;<?xml version="1.0" encoding="utf-8"?><Relationships xmlns="http://schemas.openxmlformats.org/package/2006/relationships"><Relationship Type="http://schemas.openxmlformats.org/officeDocument/2006/relationships/table" Target="/xl/tables/table12.xml" Id="R871aed92b70744a1" /></Relationships>
</file>

<file path=xl/worksheets/sheet1.xml><?xml version="1.0" encoding="utf-8"?>
<x:worksheet xmlns:x="http://schemas.openxmlformats.org/spreadsheetml/2006/main">
  <x:sheetFormatPr defaultRowHeight="15"/>
  <x:cols>
    <x:col min="1" max="1" width="22" hidden="0" customWidth="1"/>
    <x:col min="2" max="2" width="18" hidden="0" customWidth="1"/>
    <x:col min="3" max="3" width="16" hidden="0" customWidth="1"/>
    <x:col min="4" max="4" width="16" hidden="0" customWidth="1"/>
    <x:col min="5" max="5" width="20" hidden="0" customWidth="1"/>
    <x:col min="6" max="6" width="56" hidden="0" customWidth="1"/>
    <x:col min="7" max="7" width="18" hidden="0" customWidth="1"/>
    <x:col min="8" max="8" width="14" hidden="0" customWidth="1"/>
  </x:cols>
  <x:sheetData>
    <x:row r="1" ht="36" customHeight="1">
      <x:c r="A1" s="70" t="str">
        <x:v>HTO VISA MASTER SYSTEM – PHÂN HỆ DU HỌC (STUDY) 2026</x:v>
      </x:c>
      <x:c r="B1" s="13"/>
      <x:c r="C1" s="13"/>
      <x:c r="D1" s="13"/>
      <x:c r="E1" s="13"/>
      <x:c r="F1" s="13"/>
      <x:c r="G1" s="13"/>
      <x:c r="H1" s="13"/>
      <x:c r="I1" s="13"/>
      <x:c r="J1" s="13"/>
      <x:c r="K1" s="13"/>
      <x:c r="L1" s="13"/>
      <x:c r="M1" s="13"/>
      <x:c r="N1" s="13"/>
      <x:c r="O1" s="13"/>
      <x:c r="P1" s="13"/>
      <x:c r="Q1" s="13"/>
      <x:c r="R1" s="13"/>
      <x:c r="S1" s="13"/>
      <x:c r="T1" s="13"/>
      <x:c r="U1" s="13"/>
      <x:c r="V1" s="13"/>
      <x:c r="W1" s="13"/>
      <x:c r="X1" s="13"/>
      <x:c r="Y1" s="13"/>
      <x:c r="Z1" s="13"/>
    </x:row>
    <x:row r="2" ht="34" customHeight="1">
      <x:c r="A2" s="41" t="str">
        <x:v>Thiết kế chuẩn hóa mã visa, checklist hồ sơ, biểu mẫu, giá bán, CRM/API Mapping và AI Knowledge Base cho 11 quốc gia/khu vực.</x:v>
      </x:c>
    </x:row>
    <x:row r="4">
      <x:c r="A4" s="47" t="str">
        <x:v>Tổng quốc gia/khu vực</x:v>
      </x:c>
      <x:c r="B4" s="52" t="n">
        <x:f>COUNTA('04_Country_Master'!A2:A50)</x:f>
        <x:v>11</x:v>
      </x:c>
      <x:c r="D4" s="6" t="str">
        <x:v>MODULES CREATED</x:v>
      </x:c>
    </x:row>
    <x:row r="5">
      <x:c r="A5" s="47" t="str">
        <x:v>Tổng mã visa du học</x:v>
      </x:c>
      <x:c r="B5" s="52" t="n">
        <x:f>COUNTA('01_Study_Visa_Master'!E2:E500)</x:f>
        <x:v>33</x:v>
      </x:c>
      <x:c r="D5" s="58" t="str">
        <x:v>01</x:v>
      </x:c>
      <x:c r="E5" s="13" t="str">
        <x:v>Study Visa Master</x:v>
      </x:c>
      <x:c r="F5" s="13" t="str">
        <x:v>Danh mục mã sản phẩm du học 11 quốc gia</x:v>
      </x:c>
    </x:row>
    <x:row r="6">
      <x:c r="A6" s="47" t="str">
        <x:v>Tổng checklist hồ sơ</x:v>
      </x:c>
      <x:c r="B6" s="52" t="n">
        <x:f>COUNTA('02_Checklist_Master'!A2:A1000)</x:f>
        <x:v>330</x:v>
      </x:c>
      <x:c r="D6" s="58" t="str">
        <x:v>02</x:v>
      </x:c>
      <x:c r="E6" s="13" t="str">
        <x:v>Checklist Master</x:v>
      </x:c>
      <x:c r="F6" s="13" t="str">
        <x:v>Checklist hồ sơ theo từng visa code</x:v>
      </x:c>
    </x:row>
    <x:row r="7">
      <x:c r="A7" s="47" t="str">
        <x:v>Tổng biểu mẫu/platform</x:v>
      </x:c>
      <x:c r="B7" s="52" t="n">
        <x:f>COUNTA('03_Form_Master'!A2:A200)</x:f>
        <x:v>11</x:v>
      </x:c>
      <x:c r="D7" s="58" t="str">
        <x:v>03</x:v>
      </x:c>
      <x:c r="E7" s="13" t="str">
        <x:v>Form Master</x:v>
      </x:c>
      <x:c r="F7" s="13" t="str">
        <x:v>Biểu mẫu/platform chính theo quốc gia</x:v>
      </x:c>
    </x:row>
    <x:row r="8">
      <x:c r="A8" s="47" t="str">
        <x:v>Tổng trường/đối tác mẫu</x:v>
      </x:c>
      <x:c r="B8" s="52" t="n">
        <x:f>COUNTA('05_School_Partner_Master'!A2:A200)</x:f>
        <x:v>9</x:v>
      </x:c>
      <x:c r="D8" s="58" t="str">
        <x:v>04</x:v>
      </x:c>
      <x:c r="E8" s="13" t="str">
        <x:v>Country/School Master</x:v>
      </x:c>
      <x:c r="F8" s="13" t="str">
        <x:v>Nguồn xử lý, đối tác, dữ liệu nền</x:v>
      </x:c>
    </x:row>
    <x:row r="9">
      <x:c r="A9" s="47" t="str">
        <x:v>Tổng mã giá</x:v>
      </x:c>
      <x:c r="B9" s="52" t="n">
        <x:f>COUNTA('06_Price_Master'!B2:B500)</x:f>
        <x:v>33</x:v>
      </x:c>
      <x:c r="D9" s="58" t="str">
        <x:v>05</x:v>
      </x:c>
      <x:c r="E9" s="13" t="str">
        <x:v>Price Master</x:v>
      </x:c>
      <x:c r="F9" s="13" t="str">
        <x:v>Giá net, agency, retail, công thức lợi nhuận</x:v>
      </x:c>
    </x:row>
    <x:row r="10">
      <x:c r="A10" s="47" t="str">
        <x:v>Số mã Active</x:v>
      </x:c>
      <x:c r="B10" s="52" t="n">
        <x:f>COUNTIF('01_Study_Visa_Master'!X2:X500,"Active")</x:f>
        <x:v>32</x:v>
      </x:c>
      <x:c r="D10" s="58" t="str">
        <x:v>06</x:v>
      </x:c>
      <x:c r="E10" s="13" t="str">
        <x:v>CRM/API Mapping</x:v>
      </x:c>
      <x:c r="F10" s="13" t="str">
        <x:v>Trường dữ liệu để đồng bộ Getfly/Base/MISA</x:v>
      </x:c>
    </x:row>
    <x:row r="11">
      <x:c r="D11" s="58" t="str">
        <x:v>07</x:v>
      </x:c>
      <x:c r="E11" s="13" t="str">
        <x:v>AI Knowledge</x:v>
      </x:c>
      <x:c r="F11" s="13" t="str">
        <x:v>Nguồn trả lời nội bộ cho tư vấn/AI Assistant</x:v>
      </x:c>
    </x:row>
    <x:row r="13">
      <x:c r="A13" s="6" t="str">
        <x:v>COUNTRY COVERAGE</x:v>
      </x:c>
    </x:row>
    <x:row r="14">
      <x:c r="A14" s="64" t="str">
        <x:v>Code</x:v>
      </x:c>
      <x:c r="B14" s="64" t="str">
        <x:v>Country</x:v>
      </x:c>
      <x:c r="C14" s="64" t="str">
        <x:v>Region</x:v>
      </x:c>
      <x:c r="D14" s="64" t="str">
        <x:v>Policy Volatility</x:v>
      </x:c>
      <x:c r="E14" s="64" t="str">
        <x:v>Owner</x:v>
      </x:c>
      <x:c r="G14" s="64" t="str">
        <x:v>Region</x:v>
      </x:c>
      <x:c r="H14" s="64" t="str">
        <x:v>Visa Count</x:v>
      </x:c>
    </x:row>
    <x:row r="15">
      <x:c r="A15" s="13" t="str">
        <x:v>KR</x:v>
      </x:c>
      <x:c r="B15" s="13" t="str">
        <x:v>Hàn Quốc</x:v>
      </x:c>
      <x:c r="C15" s="13" t="str">
        <x:v>Đông Á</x:v>
      </x:c>
      <x:c r="D15" s="13" t="str">
        <x:v>Medium</x:v>
      </x:c>
      <x:c r="E15" s="13" t="str">
        <x:v>Team Korea</x:v>
      </x:c>
      <x:c r="G15" s="13" t="str">
        <x:v>Đông Á</x:v>
      </x:c>
      <x:c r="H15" s="13" t="n">
        <x:v>11</x:v>
      </x:c>
    </x:row>
    <x:row r="16">
      <x:c r="A16" s="13" t="str">
        <x:v>JP</x:v>
      </x:c>
      <x:c r="B16" s="13" t="str">
        <x:v>Nhật Bản</x:v>
      </x:c>
      <x:c r="C16" s="13" t="str">
        <x:v>Đông Á</x:v>
      </x:c>
      <x:c r="D16" s="13" t="str">
        <x:v>Medium</x:v>
      </x:c>
      <x:c r="E16" s="13" t="str">
        <x:v>Team Japan</x:v>
      </x:c>
      <x:c r="G16" s="13" t="str">
        <x:v>Châu Âu</x:v>
      </x:c>
      <x:c r="H16" s="13" t="n">
        <x:v>8</x:v>
      </x:c>
    </x:row>
    <x:row r="17">
      <x:c r="A17" s="13" t="str">
        <x:v>CN</x:v>
      </x:c>
      <x:c r="B17" s="13" t="str">
        <x:v>Trung Quốc</x:v>
      </x:c>
      <x:c r="C17" s="13" t="str">
        <x:v>Đông Á</x:v>
      </x:c>
      <x:c r="D17" s="13" t="str">
        <x:v>Medium</x:v>
      </x:c>
      <x:c r="E17" s="13" t="str">
        <x:v>Team China</x:v>
      </x:c>
      <x:c r="G17" s="13" t="str">
        <x:v>Schengen</x:v>
      </x:c>
      <x:c r="H17" s="13" t="n">
        <x:v>2</x:v>
      </x:c>
    </x:row>
    <x:row r="18">
      <x:c r="A18" s="13" t="str">
        <x:v>TW</x:v>
      </x:c>
      <x:c r="B18" s="13" t="str">
        <x:v>Đài Loan</x:v>
      </x:c>
      <x:c r="C18" s="13" t="str">
        <x:v>Đông Á</x:v>
      </x:c>
      <x:c r="D18" s="13" t="str">
        <x:v>Medium</x:v>
      </x:c>
      <x:c r="E18" s="13" t="str">
        <x:v>Team Taiwan</x:v>
      </x:c>
      <x:c r="G18" t="str">
        <x:v>Anh ngữ</x:v>
      </x:c>
      <x:c r="H18" t="n">
        <x:v>12</x:v>
      </x:c>
    </x:row>
    <x:row r="19">
      <x:c r="A19" s="13" t="str">
        <x:v>DE</x:v>
      </x:c>
      <x:c r="B19" s="13" t="str">
        <x:v>Đức</x:v>
      </x:c>
      <x:c r="C19" s="13" t="str">
        <x:v>Châu Âu</x:v>
      </x:c>
      <x:c r="D19" s="13" t="str">
        <x:v>High</x:v>
      </x:c>
      <x:c r="E19" s="13" t="str">
        <x:v>Team Germany</x:v>
      </x:c>
    </x:row>
    <x:row r="20">
      <x:c r="A20" s="13" t="str">
        <x:v>SCH</x:v>
      </x:c>
      <x:c r="B20" s="13" t="str">
        <x:v>Schengen</x:v>
      </x:c>
      <x:c r="C20" s="13" t="str">
        <x:v>Schengen</x:v>
      </x:c>
      <x:c r="D20" s="13" t="str">
        <x:v>High</x:v>
      </x:c>
      <x:c r="E20" s="13" t="str">
        <x:v>Team Europe</x:v>
      </x:c>
    </x:row>
    <x:row r="21">
      <x:c r="A21" s="13" t="str">
        <x:v>UK</x:v>
      </x:c>
      <x:c r="B21" s="13" t="str">
        <x:v>Anh Quốc</x:v>
      </x:c>
      <x:c r="C21" s="13" t="str">
        <x:v>Châu Âu</x:v>
      </x:c>
      <x:c r="D21" s="13" t="str">
        <x:v>High</x:v>
      </x:c>
      <x:c r="E21" s="13" t="str">
        <x:v>Team UK</x:v>
      </x:c>
    </x:row>
    <x:row r="22">
      <x:c r="A22" s="13" t="str">
        <x:v>US</x:v>
      </x:c>
      <x:c r="B22" s="13" t="str">
        <x:v>Mỹ</x:v>
      </x:c>
      <x:c r="C22" s="13" t="str">
        <x:v>Anh ngữ</x:v>
      </x:c>
      <x:c r="D22" s="13" t="str">
        <x:v>High</x:v>
      </x:c>
      <x:c r="E22" s="13" t="str">
        <x:v>Team US</x:v>
      </x:c>
    </x:row>
    <x:row r="23">
      <x:c r="A23" s="13" t="str">
        <x:v>AU</x:v>
      </x:c>
      <x:c r="B23" s="13" t="str">
        <x:v>Úc</x:v>
      </x:c>
      <x:c r="C23" s="13" t="str">
        <x:v>Anh ngữ</x:v>
      </x:c>
      <x:c r="D23" s="13" t="str">
        <x:v>High</x:v>
      </x:c>
      <x:c r="E23" s="13" t="str">
        <x:v>Team Australia</x:v>
      </x:c>
    </x:row>
    <x:row r="24">
      <x:c r="A24" s="13" t="str">
        <x:v>CA</x:v>
      </x:c>
      <x:c r="B24" s="13" t="str">
        <x:v>Canada</x:v>
      </x:c>
      <x:c r="C24" s="13" t="str">
        <x:v>Anh ngữ</x:v>
      </x:c>
      <x:c r="D24" s="13" t="str">
        <x:v>Very High</x:v>
      </x:c>
      <x:c r="E24" s="13" t="str">
        <x:v>Team Canada</x:v>
      </x:c>
    </x:row>
    <x:row r="25">
      <x:c r="A25" t="str">
        <x:v>NZ</x:v>
      </x:c>
      <x:c r="B25" t="str">
        <x:v>New Zealand</x:v>
      </x:c>
      <x:c r="C25" t="str">
        <x:v>Anh ngữ</x:v>
      </x:c>
      <x:c r="D25" t="str">
        <x:v>Medium</x:v>
      </x:c>
      <x:c r="E25" t="str">
        <x:v>Team NZ</x:v>
      </x:c>
    </x:row>
  </x:sheetData>
  <x:mergeCells>
    <x:mergeCell ref="A1:H1"/>
    <x:mergeCell ref="A2:H2"/>
    <x:mergeCell ref="D4:H4"/>
    <x:mergeCell ref="A13:H13"/>
  </x:mergeCells>
  <x:conditionalFormatting sqref="D15:D24">
    <x:cfRule type="expression" dxfId="3" priority="1">
      <x:formula>D15="Very High"</x:formula>
    </x:cfRule>
    <x:cfRule type="expression" dxfId="4" priority="2">
      <x:formula>D15="High"</x:formula>
    </x:cfRule>
    <x:cfRule type="expression" dxfId="5" priority="3">
      <x:formula>D15="Medium"</x:formula>
    </x:cfRule>
  </x:conditionalFormatting>
  <x:pageMargins left="0.7" right="0.7" top="0.75" bottom="0.75" header="0.3" footer="0.3"/>
  <x:drawing xmlns:r="http://schemas.openxmlformats.org/officeDocument/2006/relationships" r:id="R34752c1e51c746ec"/>
</x:worksheet>
</file>

<file path=xl/worksheets/sheet2.xml><?xml version="1.0" encoding="utf-8"?>
<x:worksheet xmlns:x="http://schemas.openxmlformats.org/spreadsheetml/2006/main">
  <x:sheetFormatPr defaultRowHeight="15"/>
  <x:cols>
    <x:col min="1" max="1" width="6" hidden="0" customWidth="1"/>
    <x:col min="2" max="2" width="12" hidden="0" customWidth="1"/>
    <x:col min="3" max="3" width="14" hidden="0" customWidth="1"/>
    <x:col min="4" max="4" width="10" hidden="0" customWidth="1"/>
    <x:col min="5" max="5" width="24" hidden="0" customWidth="1"/>
    <x:col min="6" max="6" width="14" hidden="0" customWidth="1"/>
    <x:col min="7" max="7" width="24" hidden="0" customWidth="1"/>
    <x:col min="8" max="8" width="18" hidden="0" customWidth="1"/>
    <x:col min="9" max="9" width="10" hidden="0" customWidth="1"/>
    <x:col min="10" max="10" width="10" hidden="0" customWidth="1"/>
    <x:col min="11" max="11" width="14" hidden="0" customWidth="1"/>
    <x:col min="12" max="12" width="18" hidden="0" customWidth="1"/>
    <x:col min="13" max="13" width="24" hidden="0" customWidth="1"/>
    <x:col min="14" max="14" width="34" hidden="0" customWidth="1"/>
    <x:col min="15" max="15" width="34" hidden="0" customWidth="1"/>
    <x:col min="16" max="16" width="24" hidden="0" customWidth="1"/>
    <x:col min="17" max="17" width="28" hidden="0" customWidth="1"/>
    <x:col min="18" max="18" width="18" hidden="0" customWidth="1"/>
    <x:col min="19" max="19" width="22" hidden="0" customWidth="1"/>
    <x:col min="20" max="20" width="22" hidden="0" customWidth="1"/>
    <x:col min="21" max="21" width="28" hidden="0" customWidth="1"/>
    <x:col min="22" max="22" width="28" hidden="0" customWidth="1"/>
    <x:col min="23" max="23" width="22" hidden="0" customWidth="1"/>
    <x:col min="24" max="24" width="12" hidden="0" customWidth="1"/>
    <x:col min="25" max="25" width="10" hidden="0" customWidth="1"/>
    <x:col min="26" max="26" width="34" hidden="0" customWidth="1"/>
  </x:cols>
  <x:sheetData>
    <x:row r="1" ht="40" customHeight="1">
      <x:c r="A1" s="72" t="str">
        <x:v>STT</x:v>
      </x:c>
      <x:c r="B1" s="72" t="str">
        <x:v>Region</x:v>
      </x:c>
      <x:c r="C1" s="72" t="str">
        <x:v>Country</x:v>
      </x:c>
      <x:c r="D1" s="72" t="str">
        <x:v>Country Code</x:v>
      </x:c>
      <x:c r="E1" s="72" t="str">
        <x:v>Visa Code Chuẩn</x:v>
      </x:c>
      <x:c r="F1" s="72" t="str">
        <x:v>Mã ngắn nội bộ</x:v>
      </x:c>
      <x:c r="G1" s="72" t="str">
        <x:v>Visa/Permit Name</x:v>
      </x:c>
      <x:c r="H1" s="72" t="str">
        <x:v>Visa/Permit Local Code</x:v>
      </x:c>
      <x:c r="I1" s="72" t="str">
        <x:v>Purpose</x:v>
      </x:c>
      <x:c r="J1" s="72" t="str">
        <x:v>Type</x:v>
      </x:c>
      <x:c r="K1" s="72" t="str">
        <x:v>Level/Bậc học</x:v>
      </x:c>
      <x:c r="L1" s="72" t="str">
        <x:v>Thời lượng/Note</x:v>
      </x:c>
      <x:c r="M1" s="72" t="str">
        <x:v>Đối tượng chính</x:v>
      </x:c>
      <x:c r="N1" s="72" t="str">
        <x:v>Điều kiện học lực/ngôn ngữ gợi ý</x:v>
      </x:c>
      <x:c r="O1" s="72" t="str">
        <x:v>Tài chính/Chứng minh tài chính</x:v>
      </x:c>
      <x:c r="P1" s="72" t="str">
        <x:v>Form/Platform chính</x:v>
      </x:c>
      <x:c r="Q1" s="72" t="str">
        <x:v>Cơ quan/Website xử lý</x:v>
      </x:c>
      <x:c r="R1" s="72" t="str">
        <x:v>Biometrics/Medical</x:v>
      </x:c>
      <x:c r="S1" s="72" t="str">
        <x:v>Thời gian xử lý tham khảo</x:v>
      </x:c>
      <x:c r="T1" s="72" t="str">
        <x:v>Quyền làm thêm/Work</x:v>
      </x:c>
      <x:c r="U1" s="72" t="str">
        <x:v>Post-study/Pathway note</x:v>
      </x:c>
      <x:c r="V1" s="72" t="str">
        <x:v>Risk Note</x:v>
      </x:c>
      <x:c r="W1" s="72" t="str">
        <x:v>CRM Pipeline</x:v>
      </x:c>
      <x:c r="X1" s="72" t="str">
        <x:v>Status</x:v>
      </x:c>
      <x:c r="Y1" s="72" t="str">
        <x:v>Priority</x:v>
      </x:c>
      <x:c r="Z1" s="72" t="str">
        <x:v>Source URL/Note</x:v>
      </x:c>
    </x:row>
    <x:row r="2">
      <x:c r="A2" s="13" t="n">
        <x:v>1</x:v>
      </x:c>
      <x:c r="B2" s="13" t="str">
        <x:v>Đông Á</x:v>
      </x:c>
      <x:c r="C2" s="13" t="str">
        <x:v>Hàn Quốc</x:v>
      </x:c>
      <x:c r="D2" s="13" t="str">
        <x:v>KR</x:v>
      </x:c>
      <x:c r="E2" s="13" t="str">
        <x:v>KR-STUDY-LANG-D41</x:v>
      </x:c>
      <x:c r="F2" s="13" t="str">
        <x:v>VIS-KR-ST01</x:v>
      </x:c>
      <x:c r="G2" s="13" t="str">
        <x:v>Du học tiếng Hàn</x:v>
      </x:c>
      <x:c r="H2" s="13" t="str">
        <x:v>D-4-1</x:v>
      </x:c>
      <x:c r="I2" s="13" t="str">
        <x:v>STUDY</x:v>
      </x:c>
      <x:c r="J2" s="13" t="str">
        <x:v>LANG</x:v>
      </x:c>
      <x:c r="K2" s="13" t="str">
        <x:v>Language</x:v>
      </x:c>
      <x:c r="L2" s="13" t="str">
        <x:v>Học tiếng tại viện ngôn ngữ ĐH</x:v>
      </x:c>
      <x:c r="M2" s="13" t="str">
        <x:v>Học viên học tiếng Hàn</x:v>
      </x:c>
      <x:c r="N2" s="13" t="str">
        <x:v>TOPIK chưa bắt buộc; cần lộ trình học rõ</x:v>
      </x:c>
      <x:c r="O2" s="13" t="str">
        <x:v>Tài chính theo yêu cầu trường/LSQ</x:v>
      </x:c>
      <x:c r="P2" s="13" t="str">
        <x:v>Form visa Hàn + hồ sơ trường</x:v>
      </x:c>
      <x:c r="Q2" s="13" t="str">
        <x:v>Korea Visa Portal/Embassy/KVAC</x:v>
      </x:c>
      <x:c r="R2" s="13" t="str">
        <x:v>Theo yêu cầu</x:v>
      </x:c>
      <x:c r="S2" s="13" t="str">
        <x:v>Theo lịch LSQ/KVAC</x:v>
      </x:c>
      <x:c r="T2" s="13" t="str">
        <x:v>Theo quy định Hàn Quốc</x:v>
      </x:c>
      <x:c r="U2" s="13" t="str">
        <x:v>Có thể chuyển tiếp D2 nếu đủ điều kiện</x:v>
      </x:c>
      <x:c r="V2" s="13" t="str">
        <x:v>Cần kiểm soát mục đích học và hồ sơ tài chính</x:v>
      </x:c>
      <x:c r="W2" s="13" t="str">
        <x:v>Korea Study Pipeline</x:v>
      </x:c>
      <x:c r="X2" s="13" t="str">
        <x:v>Active</x:v>
      </x:c>
      <x:c r="Y2" s="13" t="str">
        <x:v>High</x:v>
      </x:c>
      <x:c r="Z2" s="13" t="str">
        <x:v>User-provided + cần kiểm chứng official</x:v>
      </x:c>
    </x:row>
    <x:row r="3">
      <x:c r="A3" s="13" t="n">
        <x:v>2</x:v>
      </x:c>
      <x:c r="B3" s="13" t="str">
        <x:v>Đông Á</x:v>
      </x:c>
      <x:c r="C3" s="13" t="str">
        <x:v>Hàn Quốc</x:v>
      </x:c>
      <x:c r="D3" s="13" t="str">
        <x:v>KR</x:v>
      </x:c>
      <x:c r="E3" s="13" t="str">
        <x:v>KR-STUDY-VET-D46</x:v>
      </x:c>
      <x:c r="F3" s="13" t="str">
        <x:v>VIS-KR-ST02</x:v>
      </x:c>
      <x:c r="G3" s="13" t="str">
        <x:v>Du học nghề Hàn Quốc</x:v>
      </x:c>
      <x:c r="H3" s="13" t="str">
        <x:v>D-4-6</x:v>
      </x:c>
      <x:c r="I3" s="13" t="str">
        <x:v>STUDY</x:v>
      </x:c>
      <x:c r="J3" s="13" t="str">
        <x:v>VET</x:v>
      </x:c>
      <x:c r="K3" s="13" t="str">
        <x:v>Vocational</x:v>
      </x:c>
      <x:c r="L3" s="13" t="str">
        <x:v>Trường CĐ nghề/học viện được cấp phép</x:v>
      </x:c>
      <x:c r="M3" s="13" t="str">
        <x:v>Học viên học nghề</x:v>
      </x:c>
      <x:c r="N3" s="13" t="str">
        <x:v>Tùy ngành/trường; tiếng Hàn theo yêu cầu</x:v>
      </x:c>
      <x:c r="O3" s="13" t="str">
        <x:v>Tài chính theo trường/LSQ</x:v>
      </x:c>
      <x:c r="P3" s="13" t="str">
        <x:v>Form visa Hàn + admission</x:v>
      </x:c>
      <x:c r="Q3" s="13" t="str">
        <x:v>Korea Visa Portal/Embassy/KVAC</x:v>
      </x:c>
      <x:c r="R3" s="13" t="str">
        <x:v>Theo yêu cầu</x:v>
      </x:c>
      <x:c r="S3" s="13" t="str">
        <x:v>Theo lịch LSQ/KVAC</x:v>
      </x:c>
      <x:c r="T3" s="13" t="str">
        <x:v>Theo quy định Hàn Quốc</x:v>
      </x:c>
      <x:c r="U3" s="13" t="str">
        <x:v>Có thể định hướng việc làm/chuyển tiếp</x:v>
      </x:c>
      <x:c r="V3" s="13" t="str">
        <x:v>Rủi ro nếu ngành học không hợp lý</x:v>
      </x:c>
      <x:c r="W3" s="13" t="str">
        <x:v>Korea VET Pipeline</x:v>
      </x:c>
      <x:c r="X3" s="13" t="str">
        <x:v>Active</x:v>
      </x:c>
      <x:c r="Y3" s="13" t="str">
        <x:v>High</x:v>
      </x:c>
      <x:c r="Z3" s="13" t="str">
        <x:v>User-provided + cần kiểm chứng official</x:v>
      </x:c>
    </x:row>
    <x:row r="4">
      <x:c r="A4" s="13" t="n">
        <x:v>3</x:v>
      </x:c>
      <x:c r="B4" s="13" t="str">
        <x:v>Đông Á</x:v>
      </x:c>
      <x:c r="C4" s="13" t="str">
        <x:v>Hàn Quốc</x:v>
      </x:c>
      <x:c r="D4" s="13" t="str">
        <x:v>KR</x:v>
      </x:c>
      <x:c r="E4" s="13" t="str">
        <x:v>KR-STUDY-ASSOC-D21</x:v>
      </x:c>
      <x:c r="F4" s="13" t="str">
        <x:v>VIS-KR-ST03</x:v>
      </x:c>
      <x:c r="G4" s="13" t="str">
        <x:v>Cao đẳng chuyên ngành</x:v>
      </x:c>
      <x:c r="H4" s="13" t="str">
        <x:v>D-2-1</x:v>
      </x:c>
      <x:c r="I4" s="13" t="str">
        <x:v>STUDY</x:v>
      </x:c>
      <x:c r="J4" s="13" t="str">
        <x:v>UNI</x:v>
      </x:c>
      <x:c r="K4" s="13" t="str">
        <x:v>Associate</x:v>
      </x:c>
      <x:c r="L4" s="13" t="str">
        <x:v>Hệ Cao đẳng/Associate Degree</x:v>
      </x:c>
      <x:c r="M4" s="13" t="str">
        <x:v>Sinh viên cao đẳng</x:v>
      </x:c>
      <x:c r="N4" s="13" t="str">
        <x:v>GPA khá; TOPIK/IELTS tùy trường</x:v>
      </x:c>
      <x:c r="O4" s="13" t="str">
        <x:v>Tài chính theo yêu cầu</x:v>
      </x:c>
      <x:c r="P4" s="13" t="str">
        <x:v>Admission + visa form</x:v>
      </x:c>
      <x:c r="Q4" s="13" t="str">
        <x:v>Korea Visa Portal/Embassy/KVAC</x:v>
      </x:c>
      <x:c r="R4" s="13" t="str">
        <x:v>Theo yêu cầu</x:v>
      </x:c>
      <x:c r="S4" s="13" t="str">
        <x:v>Theo lịch LSQ/KVAC</x:v>
      </x:c>
      <x:c r="T4" s="13" t="str">
        <x:v>Theo luật Hàn Quốc</x:v>
      </x:c>
      <x:c r="U4" s="13" t="str">
        <x:v>Chuyển tiếp đại học/việc làm</x:v>
      </x:c>
      <x:c r="V4" s="13" t="str">
        <x:v>Cần khớp ngành và năng lực</x:v>
      </x:c>
      <x:c r="W4" s="13" t="str">
        <x:v>Korea Degree Pipeline</x:v>
      </x:c>
      <x:c r="X4" s="13" t="str">
        <x:v>Active</x:v>
      </x:c>
      <x:c r="Y4" s="13" t="str">
        <x:v>Medium</x:v>
      </x:c>
      <x:c r="Z4" s="13" t="str">
        <x:v>User-provided</x:v>
      </x:c>
    </x:row>
    <x:row r="5">
      <x:c r="A5" s="13" t="n">
        <x:v>4</x:v>
      </x:c>
      <x:c r="B5" s="13" t="str">
        <x:v>Đông Á</x:v>
      </x:c>
      <x:c r="C5" s="13" t="str">
        <x:v>Hàn Quốc</x:v>
      </x:c>
      <x:c r="D5" s="13" t="str">
        <x:v>KR</x:v>
      </x:c>
      <x:c r="E5" s="13" t="str">
        <x:v>KR-STUDY-UNI-D22</x:v>
      </x:c>
      <x:c r="F5" s="13" t="str">
        <x:v>VIS-KR-ST04</x:v>
      </x:c>
      <x:c r="G5" s="13" t="str">
        <x:v>Đại học chính quy</x:v>
      </x:c>
      <x:c r="H5" s="13" t="str">
        <x:v>D-2-2</x:v>
      </x:c>
      <x:c r="I5" s="13" t="str">
        <x:v>STUDY</x:v>
      </x:c>
      <x:c r="J5" s="13" t="str">
        <x:v>UNI</x:v>
      </x:c>
      <x:c r="K5" s="13" t="str">
        <x:v>Bachelor</x:v>
      </x:c>
      <x:c r="L5" s="13" t="str">
        <x:v>Cử nhân</x:v>
      </x:c>
      <x:c r="M5" s="13" t="str">
        <x:v>HS tốt nghiệp THPT/SV chuyển tiếp</x:v>
      </x:c>
      <x:c r="N5" s="13" t="str">
        <x:v>GPA khá; TOPIK/IELTS tùy chương trình</x:v>
      </x:c>
      <x:c r="O5" s="13" t="str">
        <x:v>Tài chính theo trường/LSQ</x:v>
      </x:c>
      <x:c r="P5" s="13" t="str">
        <x:v>Admission + visa form</x:v>
      </x:c>
      <x:c r="Q5" s="13" t="str">
        <x:v>Korea Visa Portal/Embassy/KVAC</x:v>
      </x:c>
      <x:c r="R5" s="13" t="str">
        <x:v>Theo yêu cầu</x:v>
      </x:c>
      <x:c r="S5" s="13" t="str">
        <x:v>Theo lịch LSQ/KVAC</x:v>
      </x:c>
      <x:c r="T5" s="13" t="str">
        <x:v>Theo luật Hàn Quốc</x:v>
      </x:c>
      <x:c r="U5" s="13" t="str">
        <x:v>Có thể lên cao học/việc làm</x:v>
      </x:c>
      <x:c r="V5" s="13" t="str">
        <x:v>Kiểm tra trường chứng nhận/không chứng nhận</x:v>
      </x:c>
      <x:c r="W5" s="13" t="str">
        <x:v>Korea Degree Pipeline</x:v>
      </x:c>
      <x:c r="X5" s="13" t="str">
        <x:v>Active</x:v>
      </x:c>
      <x:c r="Y5" s="13" t="str">
        <x:v>High</x:v>
      </x:c>
      <x:c r="Z5" s="13" t="str">
        <x:v>User-provided</x:v>
      </x:c>
    </x:row>
    <x:row r="6">
      <x:c r="A6" s="13" t="n">
        <x:v>5</x:v>
      </x:c>
      <x:c r="B6" s="13" t="str">
        <x:v>Đông Á</x:v>
      </x:c>
      <x:c r="C6" s="13" t="str">
        <x:v>Hàn Quốc</x:v>
      </x:c>
      <x:c r="D6" s="13" t="str">
        <x:v>KR</x:v>
      </x:c>
      <x:c r="E6" s="13" t="str">
        <x:v>KR-STUDY-POST-D23D24</x:v>
      </x:c>
      <x:c r="F6" s="13" t="str">
        <x:v>VIS-KR-ST05</x:v>
      </x:c>
      <x:c r="G6" s="13" t="str">
        <x:v>Thạc sĩ/Tiến sĩ</x:v>
      </x:c>
      <x:c r="H6" s="13" t="str">
        <x:v>D-2-3/D-2-4</x:v>
      </x:c>
      <x:c r="I6" s="13" t="str">
        <x:v>STUDY</x:v>
      </x:c>
      <x:c r="J6" s="13" t="str">
        <x:v>POST</x:v>
      </x:c>
      <x:c r="K6" s="13" t="str">
        <x:v>Graduate</x:v>
      </x:c>
      <x:c r="L6" s="13" t="str">
        <x:v>Master/PhD</x:v>
      </x:c>
      <x:c r="M6" s="13" t="str">
        <x:v>Cử nhân/Thạc sĩ</x:v>
      </x:c>
      <x:c r="N6" s="13" t="str">
        <x:v>Bằng cấp phù hợp; ngôn ngữ theo trường</x:v>
      </x:c>
      <x:c r="O6" s="13" t="str">
        <x:v>Tài chính theo trường/LSQ</x:v>
      </x:c>
      <x:c r="P6" s="13" t="str">
        <x:v>Admission + research plan</x:v>
      </x:c>
      <x:c r="Q6" s="13" t="str">
        <x:v>Korea Visa Portal/Embassy/KVAC</x:v>
      </x:c>
      <x:c r="R6" s="13" t="str">
        <x:v>Theo yêu cầu</x:v>
      </x:c>
      <x:c r="S6" s="13" t="str">
        <x:v>Theo lịch LSQ/KVAC</x:v>
      </x:c>
      <x:c r="T6" s="13" t="str">
        <x:v>Theo luật Hàn Quốc</x:v>
      </x:c>
      <x:c r="U6" s="13" t="str">
        <x:v>Nghiên cứu/việc làm chuyên môn</x:v>
      </x:c>
      <x:c r="V6" s="13" t="str">
        <x:v>Cần SOP/research plan mạnh</x:v>
      </x:c>
      <x:c r="W6" s="13" t="str">
        <x:v>Korea Graduate Pipeline</x:v>
      </x:c>
      <x:c r="X6" s="13" t="str">
        <x:v>Active</x:v>
      </x:c>
      <x:c r="Y6" s="13" t="str">
        <x:v>Medium</x:v>
      </x:c>
      <x:c r="Z6" s="13" t="str">
        <x:v>User-provided</x:v>
      </x:c>
    </x:row>
    <x:row r="7">
      <x:c r="A7" s="13" t="n">
        <x:v>6</x:v>
      </x:c>
      <x:c r="B7" s="13" t="str">
        <x:v>Đông Á</x:v>
      </x:c>
      <x:c r="C7" s="13" t="str">
        <x:v>Hàn Quốc</x:v>
      </x:c>
      <x:c r="D7" s="13" t="str">
        <x:v>KR</x:v>
      </x:c>
      <x:c r="E7" s="13" t="str">
        <x:v>KR-STUDY-EXCH-D26</x:v>
      </x:c>
      <x:c r="F7" s="13" t="str">
        <x:v>VIS-KR-ST06</x:v>
      </x:c>
      <x:c r="G7" s="13" t="str">
        <x:v>Trao đổi sinh viên</x:v>
      </x:c>
      <x:c r="H7" s="13" t="str">
        <x:v>D-2-6</x:v>
      </x:c>
      <x:c r="I7" s="13" t="str">
        <x:v>STUDY</x:v>
      </x:c>
      <x:c r="J7" s="13" t="str">
        <x:v>EXCH</x:v>
      </x:c>
      <x:c r="K7" s="13" t="str">
        <x:v>Exchange</x:v>
      </x:c>
      <x:c r="L7" s="13" t="str">
        <x:v>Chương trình trao đổi liên kết</x:v>
      </x:c>
      <x:c r="M7" s="13" t="str">
        <x:v>SV trường liên kết Việt-Hàn</x:v>
      </x:c>
      <x:c r="N7" s="13" t="str">
        <x:v>Theo MOU và điều kiện hai trường</x:v>
      </x:c>
      <x:c r="O7" s="13" t="str">
        <x:v>Theo yêu cầu chương trình</x:v>
      </x:c>
      <x:c r="P7" s="13" t="str">
        <x:v>Admission/exchange docs</x:v>
      </x:c>
      <x:c r="Q7" s="13" t="str">
        <x:v>Korea Visa Portal/Embassy/KVAC</x:v>
      </x:c>
      <x:c r="R7" s="13" t="str">
        <x:v>Theo yêu cầu</x:v>
      </x:c>
      <x:c r="S7" s="13" t="str">
        <x:v>Theo lịch LSQ/KVAC</x:v>
      </x:c>
      <x:c r="T7" s="13" t="str">
        <x:v>Theo luật Hàn Quốc</x:v>
      </x:c>
      <x:c r="U7" s="13" t="str">
        <x:v>Trải nghiệm/trao đổi học thuật</x:v>
      </x:c>
      <x:c r="V7" s="13" t="str">
        <x:v>Cần MOU/nomination rõ</x:v>
      </x:c>
      <x:c r="W7" s="13" t="str">
        <x:v>Korea Exchange Pipeline</x:v>
      </x:c>
      <x:c r="X7" s="13" t="str">
        <x:v>Active</x:v>
      </x:c>
      <x:c r="Y7" s="13" t="str">
        <x:v>High</x:v>
      </x:c>
      <x:c r="Z7" s="13" t="str">
        <x:v>User-provided</x:v>
      </x:c>
    </x:row>
    <x:row r="8">
      <x:c r="A8" s="13" t="n">
        <x:v>7</x:v>
      </x:c>
      <x:c r="B8" s="13" t="str">
        <x:v>Đông Á</x:v>
      </x:c>
      <x:c r="C8" s="13" t="str">
        <x:v>Nhật Bản</x:v>
      </x:c>
      <x:c r="D8" s="13" t="str">
        <x:v>JP</x:v>
      </x:c>
      <x:c r="E8" s="13" t="str">
        <x:v>JP-STUDY-STUDENT-COE</x:v>
      </x:c>
      <x:c r="F8" s="13" t="str">
        <x:v>VIS-JP-ST01</x:v>
      </x:c>
      <x:c r="G8" s="13" t="str">
        <x:v>Visa du học Nhật Bản</x:v>
      </x:c>
      <x:c r="H8" s="13" t="str">
        <x:v>Student/COE</x:v>
      </x:c>
      <x:c r="I8" s="13" t="str">
        <x:v>STUDY</x:v>
      </x:c>
      <x:c r="J8" s="13" t="str">
        <x:v>STUDENT</x:v>
      </x:c>
      <x:c r="K8" s="13" t="str">
        <x:v>Language/Senmon/University</x:v>
      </x:c>
      <x:c r="L8" s="13" t="str">
        <x:v>COE rồi xin visa</x:v>
      </x:c>
      <x:c r="M8" s="13" t="str">
        <x:v>HS/SV học tiếng, Senmon, ĐH, SĐH</x:v>
      </x:c>
      <x:c r="N8" s="13" t="str">
        <x:v>Tiếng Nhật/học lực theo trường</x:v>
      </x:c>
      <x:c r="O8" s="13" t="str">
        <x:v>Tài chính bảo lãnh, sổ/ngân hàng</x:v>
      </x:c>
      <x:c r="P8" s="13" t="str">
        <x:v>COE + visa form</x:v>
      </x:c>
      <x:c r="Q8" s="13" t="str">
        <x:v>Immigration Services Agency/Embassy</x:v>
      </x:c>
      <x:c r="R8" s="13" t="str">
        <x:v>Theo yêu cầu</x:v>
      </x:c>
      <x:c r="S8" s="13" t="str">
        <x:v>Theo COE/LSQ</x:v>
      </x:c>
      <x:c r="T8" s="13" t="str">
        <x:v>Theo quy định Nhật Bản</x:v>
      </x:c>
      <x:c r="U8" s="13" t="str">
        <x:v>Việc làm sau tốt nghiệp tùy điều kiện</x:v>
      </x:c>
      <x:c r="V8" s="13" t="str">
        <x:v>COE là điểm then chốt</x:v>
      </x:c>
      <x:c r="W8" s="13" t="str">
        <x:v>Japan Study Pipeline</x:v>
      </x:c>
      <x:c r="X8" s="13" t="str">
        <x:v>Active</x:v>
      </x:c>
      <x:c r="Y8" s="13" t="str">
        <x:v>High</x:v>
      </x:c>
      <x:c r="Z8" s="13" t="str">
        <x:v>User-provided</x:v>
      </x:c>
    </x:row>
    <x:row r="9">
      <x:c r="A9" s="13" t="n">
        <x:v>8</x:v>
      </x:c>
      <x:c r="B9" s="13" t="str">
        <x:v>Đông Á</x:v>
      </x:c>
      <x:c r="C9" s="13" t="str">
        <x:v>Trung Quốc</x:v>
      </x:c>
      <x:c r="D9" s="13" t="str">
        <x:v>CN</x:v>
      </x:c>
      <x:c r="E9" s="13" t="str">
        <x:v>CN-STUDY-X1-LONG</x:v>
      </x:c>
      <x:c r="F9" s="13" t="str">
        <x:v>VIS-CN-ST01</x:v>
      </x:c>
      <x:c r="G9" s="13" t="str">
        <x:v>Du học dài hạn Trung Quốc</x:v>
      </x:c>
      <x:c r="H9" s="13" t="str">
        <x:v>X1</x:v>
      </x:c>
      <x:c r="I9" s="13" t="str">
        <x:v>STUDY</x:v>
      </x:c>
      <x:c r="J9" s="13" t="str">
        <x:v>UNI</x:v>
      </x:c>
      <x:c r="K9" s="13" t="str">
        <x:v>Long-term</x:v>
      </x:c>
      <x:c r="L9" s="13" t="str">
        <x:v>Trên 180 ngày</x:v>
      </x:c>
      <x:c r="M9" s="13" t="str">
        <x:v>Học tiếng dài hạn/ĐH/SĐH</x:v>
      </x:c>
      <x:c r="N9" s="13" t="str">
        <x:v>Điều kiện theo trường</x:v>
      </x:c>
      <x:c r="O9" s="13" t="str">
        <x:v>Tài chính theo trường/LSQ</x:v>
      </x:c>
      <x:c r="P9" s="13" t="str">
        <x:v>JW201/JW202 + Admission</x:v>
      </x:c>
      <x:c r="Q9" s="13" t="str">
        <x:v>Chinese Embassy/Visa Center</x:v>
      </x:c>
      <x:c r="R9" s="13" t="str">
        <x:v>Theo yêu cầu</x:v>
      </x:c>
      <x:c r="S9" s="13" t="str">
        <x:v>Theo LSQ</x:v>
      </x:c>
      <x:c r="T9" s="13" t="str">
        <x:v>Theo quy định TQ</x:v>
      </x:c>
      <x:c r="U9" s="13" t="str">
        <x:v>Đổi residence permit trong 30 ngày</x:v>
      </x:c>
      <x:c r="V9" s="13" t="str">
        <x:v>Cần đổi thẻ lưu trú sau nhập cảnh</x:v>
      </x:c>
      <x:c r="W9" s="13" t="str">
        <x:v>China Study Pipeline</x:v>
      </x:c>
      <x:c r="X9" s="13" t="str">
        <x:v>Active</x:v>
      </x:c>
      <x:c r="Y9" s="13" t="str">
        <x:v>Medium</x:v>
      </x:c>
      <x:c r="Z9" s="13" t="str">
        <x:v>User-provided</x:v>
      </x:c>
    </x:row>
    <x:row r="10">
      <x:c r="A10" s="13" t="n">
        <x:v>9</x:v>
      </x:c>
      <x:c r="B10" s="13" t="str">
        <x:v>Đông Á</x:v>
      </x:c>
      <x:c r="C10" s="13" t="str">
        <x:v>Trung Quốc</x:v>
      </x:c>
      <x:c r="D10" s="13" t="str">
        <x:v>CN</x:v>
      </x:c>
      <x:c r="E10" s="13" t="str">
        <x:v>CN-STUDY-X2-SHORT</x:v>
      </x:c>
      <x:c r="F10" s="13" t="str">
        <x:v>VIS-CN-ST02</x:v>
      </x:c>
      <x:c r="G10" s="13" t="str">
        <x:v>Du học ngắn hạn Trung Quốc</x:v>
      </x:c>
      <x:c r="H10" s="13" t="str">
        <x:v>X2</x:v>
      </x:c>
      <x:c r="I10" s="13" t="str">
        <x:v>STUDY</x:v>
      </x:c>
      <x:c r="J10" s="13" t="str">
        <x:v>SHORT</x:v>
      </x:c>
      <x:c r="K10" s="13" t="str">
        <x:v>Short-term</x:v>
      </x:c>
      <x:c r="L10" s="13" t="str">
        <x:v>Không quá 180 ngày</x:v>
      </x:c>
      <x:c r="M10" s="13" t="str">
        <x:v>Khóa hè/trao đổi/ngôn ngữ ngắn hạn</x:v>
      </x:c>
      <x:c r="N10" s="13" t="str">
        <x:v>Theo chương trình</x:v>
      </x:c>
      <x:c r="O10" s="13" t="str">
        <x:v>Tài chính cơ bản</x:v>
      </x:c>
      <x:c r="P10" s="13" t="str">
        <x:v>Admission/Invitation</x:v>
      </x:c>
      <x:c r="Q10" s="13" t="str">
        <x:v>Chinese Embassy/Visa Center</x:v>
      </x:c>
      <x:c r="R10" s="13" t="str">
        <x:v>Theo yêu cầu</x:v>
      </x:c>
      <x:c r="S10" s="13" t="str">
        <x:v>Theo LSQ</x:v>
      </x:c>
      <x:c r="T10" s="13" t="str">
        <x:v>Thông thường không làm thêm</x:v>
      </x:c>
      <x:c r="U10" s="13" t="str">
        <x:v>Không áp dụng dài hạn</x:v>
      </x:c>
      <x:c r="V10" s="13" t="str">
        <x:v>Rõ lịch học và vé/ăn ở</x:v>
      </x:c>
      <x:c r="W10" s="13" t="str">
        <x:v>China Short Study</x:v>
      </x:c>
      <x:c r="X10" s="13" t="str">
        <x:v>Active</x:v>
      </x:c>
      <x:c r="Y10" s="13" t="str">
        <x:v>Low</x:v>
      </x:c>
      <x:c r="Z10" s="13" t="str">
        <x:v>User-provided</x:v>
      </x:c>
    </x:row>
    <x:row r="11">
      <x:c r="A11" s="13" t="n">
        <x:v>10</x:v>
      </x:c>
      <x:c r="B11" s="13" t="str">
        <x:v>Đông Á</x:v>
      </x:c>
      <x:c r="C11" s="13" t="str">
        <x:v>Đài Loan</x:v>
      </x:c>
      <x:c r="D11" s="13" t="str">
        <x:v>TW</x:v>
      </x:c>
      <x:c r="E11" s="13" t="str">
        <x:v>TW-STUDY-RESIDENT</x:v>
      </x:c>
      <x:c r="F11" s="13" t="str">
        <x:v>VIS-TW-ST01</x:v>
      </x:c>
      <x:c r="G11" s="13" t="str">
        <x:v>Resident Visa for Study</x:v>
      </x:c>
      <x:c r="H11" s="13" t="str">
        <x:v>Resident</x:v>
      </x:c>
      <x:c r="I11" s="13" t="str">
        <x:v>STUDY</x:v>
      </x:c>
      <x:c r="J11" s="13" t="str">
        <x:v>UNI</x:v>
      </x:c>
      <x:c r="K11" s="13" t="str">
        <x:v>Long-term</x:v>
      </x:c>
      <x:c r="L11" s="13" t="str">
        <x:v>Chính quy hoặc học tiếng &gt; 6 tháng</x:v>
      </x:c>
      <x:c r="M11" s="13" t="str">
        <x:v>SV chính quy/học tiếng dài hạn</x:v>
      </x:c>
      <x:c r="N11" s="13" t="str">
        <x:v>Theo trường; TOCFL/English nếu có</x:v>
      </x:c>
      <x:c r="O11" s="13" t="str">
        <x:v>Tài chính theo yêu cầu</x:v>
      </x:c>
      <x:c r="P11" s="13" t="str">
        <x:v>Admission + visa form</x:v>
      </x:c>
      <x:c r="Q11" s="13" t="str">
        <x:v>Taiwan BOCA/TECO</x:v>
      </x:c>
      <x:c r="R11" s="13" t="str">
        <x:v>Theo yêu cầu</x:v>
      </x:c>
      <x:c r="S11" s="13" t="str">
        <x:v>Theo TECO</x:v>
      </x:c>
      <x:c r="T11" s="13" t="str">
        <x:v>Theo quy định Đài Loan</x:v>
      </x:c>
      <x:c r="U11" s="13" t="str">
        <x:v>ARC sau nhập cảnh</x:v>
      </x:c>
      <x:c r="V11" s="13" t="str">
        <x:v>Cần hồ sơ học tập rõ</x:v>
      </x:c>
      <x:c r="W11" s="13" t="str">
        <x:v>Taiwan Study Pipeline</x:v>
      </x:c>
      <x:c r="X11" s="13" t="str">
        <x:v>Active</x:v>
      </x:c>
      <x:c r="Y11" s="13" t="str">
        <x:v>Medium</x:v>
      </x:c>
      <x:c r="Z11" s="13" t="str">
        <x:v>User-provided</x:v>
      </x:c>
    </x:row>
    <x:row r="12">
      <x:c r="A12" s="13" t="n">
        <x:v>11</x:v>
      </x:c>
      <x:c r="B12" s="13" t="str">
        <x:v>Đông Á</x:v>
      </x:c>
      <x:c r="C12" s="13" t="str">
        <x:v>Đài Loan</x:v>
      </x:c>
      <x:c r="D12" s="13" t="str">
        <x:v>TW</x:v>
      </x:c>
      <x:c r="E12" s="13" t="str">
        <x:v>TW-STUDY-VISITOR</x:v>
      </x:c>
      <x:c r="F12" s="13" t="str">
        <x:v>VIS-TW-ST02</x:v>
      </x:c>
      <x:c r="G12" s="13" t="str">
        <x:v>Visitor Visa for Study</x:v>
      </x:c>
      <x:c r="H12" s="13" t="str">
        <x:v>Visitor</x:v>
      </x:c>
      <x:c r="I12" s="13" t="str">
        <x:v>STUDY</x:v>
      </x:c>
      <x:c r="J12" s="13" t="str">
        <x:v>SHORT</x:v>
      </x:c>
      <x:c r="K12" s="13" t="str">
        <x:v>Short-term</x:v>
      </x:c>
      <x:c r="L12" s="13" t="str">
        <x:v>Dưới 6 tháng</x:v>
      </x:c>
      <x:c r="M12" s="13" t="str">
        <x:v>Học tiếng/khóa ngắn hạn</x:v>
      </x:c>
      <x:c r="N12" s="13" t="str">
        <x:v>Theo trung tâm/trường</x:v>
      </x:c>
      <x:c r="O12" s="13" t="str">
        <x:v>Tài chính cơ bản</x:v>
      </x:c>
      <x:c r="P12" s="13" t="str">
        <x:v>Admission + visa form</x:v>
      </x:c>
      <x:c r="Q12" s="13" t="str">
        <x:v>Taiwan BOCA/TECO</x:v>
      </x:c>
      <x:c r="R12" s="13" t="str">
        <x:v>Theo yêu cầu</x:v>
      </x:c>
      <x:c r="S12" s="13" t="str">
        <x:v>Theo TECO</x:v>
      </x:c>
      <x:c r="T12" s="13" t="str">
        <x:v>Hạn chế</x:v>
      </x:c>
      <x:c r="U12" s="13" t="str">
        <x:v>Có thể gia hạn tùy quy định</x:v>
      </x:c>
      <x:c r="V12" s="13" t="str">
        <x:v>Cần mục đích ngắn hạn rõ</x:v>
      </x:c>
      <x:c r="W12" s="13" t="str">
        <x:v>Taiwan Short Study</x:v>
      </x:c>
      <x:c r="X12" s="13" t="str">
        <x:v>Active</x:v>
      </x:c>
      <x:c r="Y12" s="13" t="str">
        <x:v>Low</x:v>
      </x:c>
      <x:c r="Z12" s="13" t="str">
        <x:v>User-provided</x:v>
      </x:c>
    </x:row>
    <x:row r="13">
      <x:c r="A13" s="13" t="n">
        <x:v>12</x:v>
      </x:c>
      <x:c r="B13" s="13" t="str">
        <x:v>Châu Âu</x:v>
      </x:c>
      <x:c r="C13" s="13" t="str">
        <x:v>Đức</x:v>
      </x:c>
      <x:c r="D13" s="13" t="str">
        <x:v>DE</x:v>
      </x:c>
      <x:c r="E13" s="13" t="str">
        <x:v>DE-STUDY-VET-BERUF</x:v>
      </x:c>
      <x:c r="F13" s="13" t="str">
        <x:v>VIS-DE-ST01</x:v>
      </x:c>
      <x:c r="G13" s="13" t="str">
        <x:v>Du học nghề Đức</x:v>
      </x:c>
      <x:c r="H13" s="13" t="str">
        <x:v>Berufsausbildung</x:v>
      </x:c>
      <x:c r="I13" s="13" t="str">
        <x:v>STUDY</x:v>
      </x:c>
      <x:c r="J13" s="13" t="str">
        <x:v>VET</x:v>
      </x:c>
      <x:c r="K13" s="13" t="str">
        <x:v>Vocational</x:v>
      </x:c>
      <x:c r="L13" s="13" t="str">
        <x:v>Học nghề song hành có lương</x:v>
      </x:c>
      <x:c r="M13" s="13" t="str">
        <x:v>HS/SV học nghề</x:v>
      </x:c>
      <x:c r="N13" s="13" t="str">
        <x:v>Tiếng Đức thường B1/B2 tùy ngành</x:v>
      </x:c>
      <x:c r="O13" s="13" t="str">
        <x:v>Hợp đồng đào tạo/lương/chứng minh phần thiếu</x:v>
      </x:c>
      <x:c r="P13" s="13" t="str">
        <x:v>VIDEX + hồ sơ LSQ</x:v>
      </x:c>
      <x:c r="Q13" s="13" t="str">
        <x:v>German Missions/VFS</x:v>
      </x:c>
      <x:c r="R13" s="13" t="str">
        <x:v>Theo yêu cầu</x:v>
      </x:c>
      <x:c r="S13" s="13" t="str">
        <x:v>Theo LSQ/VFS</x:v>
      </x:c>
      <x:c r="T13" s="13" t="str">
        <x:v>Có lương thực hành</x:v>
      </x:c>
      <x:c r="U13" s="13" t="str">
        <x:v>Có pathway việc làm/định cư</x:v>
      </x:c>
      <x:c r="V13" s="13" t="str">
        <x:v>Phù hợp ngành/ngôn ngữ là then chốt</x:v>
      </x:c>
      <x:c r="W13" s="13" t="str">
        <x:v>Germany VET Pipeline</x:v>
      </x:c>
      <x:c r="X13" s="13" t="str">
        <x:v>Active</x:v>
      </x:c>
      <x:c r="Y13" s="13" t="str">
        <x:v>High</x:v>
      </x:c>
      <x:c r="Z13" s="13" t="str">
        <x:v>User-provided</x:v>
      </x:c>
    </x:row>
    <x:row r="14">
      <x:c r="A14" s="13" t="n">
        <x:v>13</x:v>
      </x:c>
      <x:c r="B14" s="13" t="str">
        <x:v>Châu Âu</x:v>
      </x:c>
      <x:c r="C14" s="13" t="str">
        <x:v>Đức</x:v>
      </x:c>
      <x:c r="D14" s="13" t="str">
        <x:v>DE</x:v>
      </x:c>
      <x:c r="E14" s="13" t="str">
        <x:v>DE-STUDY-UNI-STUDIUM</x:v>
      </x:c>
      <x:c r="F14" s="13" t="str">
        <x:v>VIS-DE-ST02</x:v>
      </x:c>
      <x:c r="G14" s="13" t="str">
        <x:v>Du học Đại học/Sau Đại học Đức</x:v>
      </x:c>
      <x:c r="H14" s="13" t="str">
        <x:v>Studium</x:v>
      </x:c>
      <x:c r="I14" s="13" t="str">
        <x:v>STUDY</x:v>
      </x:c>
      <x:c r="J14" s="13" t="str">
        <x:v>UNI</x:v>
      </x:c>
      <x:c r="K14" s="13" t="str">
        <x:v>University/Post</x:v>
      </x:c>
      <x:c r="L14" s="13" t="str">
        <x:v>ĐH/Thạc sĩ/Tiến sĩ</x:v>
      </x:c>
      <x:c r="M14" s="13" t="str">
        <x:v>SV có admission</x:v>
      </x:c>
      <x:c r="N14" s="13" t="str">
        <x:v>Điều kiện APS/TestAS/tiếng tùy chương trình</x:v>
      </x:c>
      <x:c r="O14" s="13" t="str">
        <x:v>Blocked account/tài chính theo chuẩn Đức</x:v>
      </x:c>
      <x:c r="P14" s="13" t="str">
        <x:v>VIDEX + admission</x:v>
      </x:c>
      <x:c r="Q14" s="13" t="str">
        <x:v>German Missions/VFS</x:v>
      </x:c>
      <x:c r="R14" s="13" t="str">
        <x:v>Theo yêu cầu</x:v>
      </x:c>
      <x:c r="S14" s="13" t="str">
        <x:v>Theo LSQ/VFS</x:v>
      </x:c>
      <x:c r="T14" s="13" t="str">
        <x:v>Theo quy định Đức</x:v>
      </x:c>
      <x:c r="U14" s="13" t="str">
        <x:v>Có post-study/job seeker pathway</x:v>
      </x:c>
      <x:c r="V14" s="13" t="str">
        <x:v>Cần admission và tài chính chuẩn</x:v>
      </x:c>
      <x:c r="W14" s="13" t="str">
        <x:v>Germany Degree Pipeline</x:v>
      </x:c>
      <x:c r="X14" s="13" t="str">
        <x:v>Active</x:v>
      </x:c>
      <x:c r="Y14" s="13" t="str">
        <x:v>High</x:v>
      </x:c>
      <x:c r="Z14" s="13" t="str">
        <x:v>User-provided</x:v>
      </x:c>
    </x:row>
    <x:row r="15">
      <x:c r="A15" s="13" t="n">
        <x:v>14</x:v>
      </x:c>
      <x:c r="B15" s="13" t="str">
        <x:v>Châu Âu</x:v>
      </x:c>
      <x:c r="C15" s="13" t="str">
        <x:v>Đức</x:v>
      </x:c>
      <x:c r="D15" s="13" t="str">
        <x:v>DE</x:v>
      </x:c>
      <x:c r="E15" s="13" t="str">
        <x:v>DE-STUDY-SOP-KOLLEG</x:v>
      </x:c>
      <x:c r="F15" s="13" t="str">
        <x:v>VIS-DE-ST03</x:v>
      </x:c>
      <x:c r="G15" s="13" t="str">
        <x:v>Dự bị Đại học/Tìm trường Đức</x:v>
      </x:c>
      <x:c r="H15" s="13" t="str">
        <x:v>Studienkolleg/Studienbewerber</x:v>
      </x:c>
      <x:c r="I15" s="13" t="str">
        <x:v>STUDY</x:v>
      </x:c>
      <x:c r="J15" s="13" t="str">
        <x:v>SOP</x:v>
      </x:c>
      <x:c r="K15" s="13" t="str">
        <x:v>Preparation</x:v>
      </x:c>
      <x:c r="L15" s="13" t="str">
        <x:v>Dự bị/ứng tuyển tối đa theo quy định</x:v>
      </x:c>
      <x:c r="M15" s="13" t="str">
        <x:v>HS chưa đủ vào ĐH trực tiếp</x:v>
      </x:c>
      <x:c r="N15" s="13" t="str">
        <x:v>Tiếng Đức theo yêu cầu Studienkolleg</x:v>
      </x:c>
      <x:c r="O15" s="13" t="str">
        <x:v>Blocked account/tài chính</x:v>
      </x:c>
      <x:c r="P15" s="13" t="str">
        <x:v>VIDEX + giấy mời thi/đăng ký</x:v>
      </x:c>
      <x:c r="Q15" s="13" t="str">
        <x:v>German Missions/VFS</x:v>
      </x:c>
      <x:c r="R15" s="13" t="str">
        <x:v>Theo yêu cầu</x:v>
      </x:c>
      <x:c r="S15" s="13" t="str">
        <x:v>Theo LSQ/VFS</x:v>
      </x:c>
      <x:c r="T15" s="13" t="str">
        <x:v>Theo quy định Đức</x:v>
      </x:c>
      <x:c r="U15" s="13" t="str">
        <x:v>Vào ĐH sau dự bị</x:v>
      </x:c>
      <x:c r="V15" s="13" t="str">
        <x:v>Cần lộ trình học rất rõ</x:v>
      </x:c>
      <x:c r="W15" s="13" t="str">
        <x:v>Germany Prep Pipeline</x:v>
      </x:c>
      <x:c r="X15" s="13" t="str">
        <x:v>Active</x:v>
      </x:c>
      <x:c r="Y15" s="13" t="str">
        <x:v>Medium</x:v>
      </x:c>
      <x:c r="Z15" s="13" t="str">
        <x:v>User-provided</x:v>
      </x:c>
    </x:row>
    <x:row r="16">
      <x:c r="A16" s="13" t="n">
        <x:v>15</x:v>
      </x:c>
      <x:c r="B16" s="13" t="str">
        <x:v>Châu Âu</x:v>
      </x:c>
      <x:c r="C16" s="13" t="str">
        <x:v>Đức</x:v>
      </x:c>
      <x:c r="D16" s="13" t="str">
        <x:v>DE</x:v>
      </x:c>
      <x:c r="E16" s="13" t="str">
        <x:v>DE-STUDY-LANG-SPRACH</x:v>
      </x:c>
      <x:c r="F16" s="13" t="str">
        <x:v>VIS-DE-ST04</x:v>
      </x:c>
      <x:c r="G16" s="13" t="str">
        <x:v>Khóa tiếng Đức chuyên sâu</x:v>
      </x:c>
      <x:c r="H16" s="13" t="str">
        <x:v>Sprachkurs</x:v>
      </x:c>
      <x:c r="I16" s="13" t="str">
        <x:v>STUDY</x:v>
      </x:c>
      <x:c r="J16" s="13" t="str">
        <x:v>LANG</x:v>
      </x:c>
      <x:c r="K16" s="13" t="str">
        <x:v>Language</x:v>
      </x:c>
      <x:c r="L16" s="13" t="str">
        <x:v>Khóa tiếng chuyên sâu</x:v>
      </x:c>
      <x:c r="M16" s="13" t="str">
        <x:v>Người học tiếng tại Đức</x:v>
      </x:c>
      <x:c r="N16" s="13" t="str">
        <x:v>Lộ trình tiếng rõ; không nhất thiết liên kết ĐH</x:v>
      </x:c>
      <x:c r="O16" s="13" t="str">
        <x:v>Tài chính đủ chi phí</x:v>
      </x:c>
      <x:c r="P16" s="13" t="str">
        <x:v>VIDEX + đăng ký khóa tiếng</x:v>
      </x:c>
      <x:c r="Q16" s="13" t="str">
        <x:v>German Missions/VFS</x:v>
      </x:c>
      <x:c r="R16" s="13" t="str">
        <x:v>Theo yêu cầu</x:v>
      </x:c>
      <x:c r="S16" s="13" t="str">
        <x:v>Theo LSQ/VFS</x:v>
      </x:c>
      <x:c r="T16" s="13" t="str">
        <x:v>Thường không/giới hạn</x:v>
      </x:c>
      <x:c r="U16" s="13" t="str">
        <x:v>Không tự động chuyển ĐH nếu không đủ điều kiện</x:v>
      </x:c>
      <x:c r="V16" s="13" t="str">
        <x:v>Cần giải trình mục đích học tiếng</x:v>
      </x:c>
      <x:c r="W16" s="13" t="str">
        <x:v>Germany Language Pipeline</x:v>
      </x:c>
      <x:c r="X16" s="13" t="str">
        <x:v>Active</x:v>
      </x:c>
      <x:c r="Y16" s="13" t="str">
        <x:v>Medium</x:v>
      </x:c>
      <x:c r="Z16" s="13" t="str">
        <x:v>User-provided</x:v>
      </x:c>
    </x:row>
    <x:row r="17">
      <x:c r="A17" s="13" t="n">
        <x:v>16</x:v>
      </x:c>
      <x:c r="B17" s="13" t="str">
        <x:v>Schengen</x:v>
      </x:c>
      <x:c r="C17" s="13" t="str">
        <x:v>Khối Schengen</x:v>
      </x:c>
      <x:c r="D17" s="13" t="str">
        <x:v>SCH</x:v>
      </x:c>
      <x:c r="E17" s="13" t="str">
        <x:v>SCH-STUDY-SHORT-C</x:v>
      </x:c>
      <x:c r="F17" s="13" t="str">
        <x:v>VIS-SCH-ST01</x:v>
      </x:c>
      <x:c r="G17" s="13" t="str">
        <x:v>Du học ngắn hạn Schengen</x:v>
      </x:c>
      <x:c r="H17" s="13" t="str">
        <x:v>Type C</x:v>
      </x:c>
      <x:c r="I17" s="13" t="str">
        <x:v>STUDY</x:v>
      </x:c>
      <x:c r="J17" s="13" t="str">
        <x:v>SHORT</x:v>
      </x:c>
      <x:c r="K17" s="13" t="str">
        <x:v>Short-term</x:v>
      </x:c>
      <x:c r="L17" s="13" t="str">
        <x:v>Dưới 90 ngày</x:v>
      </x:c>
      <x:c r="M17" s="13" t="str">
        <x:v>Du học hè/trao đổi/ngôn ngữ ngắn</x:v>
      </x:c>
      <x:c r="N17" s="13" t="str">
        <x:v>Theo chương trình</x:v>
      </x:c>
      <x:c r="O17" s="13" t="str">
        <x:v>Tài chính, bảo hiểm, lịch trình</x:v>
      </x:c>
      <x:c r="P17" s="13" t="str">
        <x:v>Schengen form</x:v>
      </x:c>
      <x:c r="Q17" s="13" t="str">
        <x:v>VFS/Embassy by country</x:v>
      </x:c>
      <x:c r="R17" s="13" t="str">
        <x:v>Theo yêu cầu</x:v>
      </x:c>
      <x:c r="S17" s="13" t="str">
        <x:v>15-45 ngày tham khảo</x:v>
      </x:c>
      <x:c r="T17" s="13" t="str">
        <x:v>Không làm thêm</x:v>
      </x:c>
      <x:c r="U17" s="13" t="str">
        <x:v>Không áp dụng định cư</x:v>
      </x:c>
      <x:c r="V17" s="13" t="str">
        <x:v>Cần chứng minh quay về</x:v>
      </x:c>
      <x:c r="W17" s="13" t="str">
        <x:v>Schengen Short Pipeline</x:v>
      </x:c>
      <x:c r="X17" s="13" t="str">
        <x:v>Active</x:v>
      </x:c>
      <x:c r="Y17" s="13" t="str">
        <x:v>Medium</x:v>
      </x:c>
      <x:c r="Z17" s="13" t="str">
        <x:v>User-provided</x:v>
      </x:c>
    </x:row>
    <x:row r="18">
      <x:c r="A18" s="13" t="n">
        <x:v>17</x:v>
      </x:c>
      <x:c r="B18" s="13" t="str">
        <x:v>Schengen</x:v>
      </x:c>
      <x:c r="C18" s="13" t="str">
        <x:v>Khối Schengen</x:v>
      </x:c>
      <x:c r="D18" s="13" t="str">
        <x:v>SCH</x:v>
      </x:c>
      <x:c r="E18" s="13" t="str">
        <x:v>SCH-STUDY-LONG-D</x:v>
      </x:c>
      <x:c r="F18" s="13" t="str">
        <x:v>VIS-SCH-ST02</x:v>
      </x:c>
      <x:c r="G18" s="13" t="str">
        <x:v>Du học dài hạn quốc gia</x:v>
      </x:c>
      <x:c r="H18" s="13" t="str">
        <x:v>Type D</x:v>
      </x:c>
      <x:c r="I18" s="13" t="str">
        <x:v>STUDY</x:v>
      </x:c>
      <x:c r="J18" s="13" t="str">
        <x:v>UNI</x:v>
      </x:c>
      <x:c r="K18" s="13" t="str">
        <x:v>Long-term</x:v>
      </x:c>
      <x:c r="L18" s="13" t="str">
        <x:v>Trên 90 ngày</x:v>
      </x:c>
      <x:c r="M18" s="13" t="str">
        <x:v>ĐH/ThS/TS/học tiếng dài hạn</x:v>
      </x:c>
      <x:c r="N18" s="13" t="str">
        <x:v>Theo quốc gia/trường</x:v>
      </x:c>
      <x:c r="O18" s="13" t="str">
        <x:v>Tài chính theo quốc gia</x:v>
      </x:c>
      <x:c r="P18" s="13" t="str">
        <x:v>National D form</x:v>
      </x:c>
      <x:c r="Q18" s="13" t="str">
        <x:v>Embassy/VFS by country</x:v>
      </x:c>
      <x:c r="R18" s="13" t="str">
        <x:v>Theo yêu cầu</x:v>
      </x:c>
      <x:c r="S18" s="13" t="str">
        <x:v>Theo quốc gia</x:v>
      </x:c>
      <x:c r="T18" s="13" t="str">
        <x:v>Theo quy định quốc gia</x:v>
      </x:c>
      <x:c r="U18" s="13" t="str">
        <x:v>Residence permit sau nhập cảnh</x:v>
      </x:c>
      <x:c r="V18" s="13" t="str">
        <x:v>Mỗi nước khác nhau cần tách SOP</x:v>
      </x:c>
      <x:c r="W18" s="13" t="str">
        <x:v>Schengen Long Pipeline</x:v>
      </x:c>
      <x:c r="X18" s="13" t="str">
        <x:v>Active</x:v>
      </x:c>
      <x:c r="Y18" s="13" t="str">
        <x:v>Medium</x:v>
      </x:c>
      <x:c r="Z18" s="13" t="str">
        <x:v>User-provided</x:v>
      </x:c>
    </x:row>
    <x:row r="19">
      <x:c r="A19" s="13" t="n">
        <x:v>18</x:v>
      </x:c>
      <x:c r="B19" s="13" t="str">
        <x:v>Châu Âu</x:v>
      </x:c>
      <x:c r="C19" s="13" t="str">
        <x:v>Anh Quốc</x:v>
      </x:c>
      <x:c r="D19" s="13" t="str">
        <x:v>UK</x:v>
      </x:c>
      <x:c r="E19" s="13" t="str">
        <x:v>UK-STUDY-STUDENT</x:v>
      </x:c>
      <x:c r="F19" s="13" t="str">
        <x:v>VIS-UK-ST01</x:v>
      </x:c>
      <x:c r="G19" s="13" t="str">
        <x:v>Student Visa UK</x:v>
      </x:c>
      <x:c r="H19" s="13" t="str">
        <x:v>Student Visa</x:v>
      </x:c>
      <x:c r="I19" s="13" t="str">
        <x:v>STUDY</x:v>
      </x:c>
      <x:c r="J19" s="13" t="str">
        <x:v>UNI</x:v>
      </x:c>
      <x:c r="K19" s="13" t="str">
        <x:v>16+</x:v>
      </x:c>
      <x:c r="L19" s="13" t="str">
        <x:v>Khóa học chính quy</x:v>
      </x:c>
      <x:c r="M19" s="13" t="str">
        <x:v>Học viên từ 16 tuổi</x:v>
      </x:c>
      <x:c r="N19" s="13" t="str">
        <x:v>CAS; tiếng Anh/UKVI tùy chương trình</x:v>
      </x:c>
      <x:c r="O19" s="13" t="str">
        <x:v>Maintenance funds theo UKVI</x:v>
      </x:c>
      <x:c r="P19" s="13" t="str">
        <x:v>UKVI online + CAS</x:v>
      </x:c>
      <x:c r="Q19" s="13" t="str">
        <x:v>UKVI</x:v>
      </x:c>
      <x:c r="R19" s="13" t="str">
        <x:v>Biometrics bắt buộc</x:v>
      </x:c>
      <x:c r="S19" s="13" t="str">
        <x:v>Theo UKVI</x:v>
      </x:c>
      <x:c r="T19" s="13" t="str">
        <x:v>Theo điều kiện visa</x:v>
      </x:c>
      <x:c r="U19" s="13" t="str">
        <x:v>Graduate route tùy điều kiện</x:v>
      </x:c>
      <x:c r="V19" s="13" t="str">
        <x:v>CAS &amp; tài chính là then chốt</x:v>
      </x:c>
      <x:c r="W19" s="13" t="str">
        <x:v>UK Student Pipeline</x:v>
      </x:c>
      <x:c r="X19" s="13" t="str">
        <x:v>Active</x:v>
      </x:c>
      <x:c r="Y19" s="13" t="str">
        <x:v>High</x:v>
      </x:c>
      <x:c r="Z19" s="13" t="str">
        <x:v>User-provided</x:v>
      </x:c>
    </x:row>
    <x:row r="20">
      <x:c r="A20" s="13" t="n">
        <x:v>19</x:v>
      </x:c>
      <x:c r="B20" s="13" t="str">
        <x:v>Châu Âu</x:v>
      </x:c>
      <x:c r="C20" s="13" t="str">
        <x:v>Anh Quốc</x:v>
      </x:c>
      <x:c r="D20" s="13" t="str">
        <x:v>UK</x:v>
      </x:c>
      <x:c r="E20" s="13" t="str">
        <x:v>UK-STUDY-CHILD</x:v>
      </x:c>
      <x:c r="F20" s="13" t="str">
        <x:v>VIS-UK-ST02</x:v>
      </x:c>
      <x:c r="G20" s="13" t="str">
        <x:v>Child Student Visa UK</x:v>
      </x:c>
      <x:c r="H20" s="13" t="str">
        <x:v>Child Student</x:v>
      </x:c>
      <x:c r="I20" s="13" t="str">
        <x:v>STUDY</x:v>
      </x:c>
      <x:c r="J20" s="13" t="str">
        <x:v>CHILD</x:v>
      </x:c>
      <x:c r="K20" s="13" t="str">
        <x:v>4-15/17</x:v>
      </x:c>
      <x:c r="L20" s="13" t="str">
        <x:v>Trường tư thục</x:v>
      </x:c>
      <x:c r="M20" s="13" t="str">
        <x:v>Trẻ em học trường độc lập</x:v>
      </x:c>
      <x:c r="N20" s="13" t="str">
        <x:v>CAS; consent phụ huynh</x:v>
      </x:c>
      <x:c r="O20" s="13" t="str">
        <x:v>Tài chính/người giám hộ theo UKVI</x:v>
      </x:c>
      <x:c r="P20" s="13" t="str">
        <x:v>UKVI online + CAS</x:v>
      </x:c>
      <x:c r="Q20" s="13" t="str">
        <x:v>UKVI</x:v>
      </x:c>
      <x:c r="R20" s="13" t="str">
        <x:v>Biometrics</x:v>
      </x:c>
      <x:c r="S20" s="13" t="str">
        <x:v>Theo UKVI</x:v>
      </x:c>
      <x:c r="T20" s="13" t="str">
        <x:v>Không làm thêm</x:v>
      </x:c>
      <x:c r="U20" s="13" t="str">
        <x:v>Học tiếp bậc cao</x:v>
      </x:c>
      <x:c r="V20" s="13" t="str">
        <x:v>Cần consent/guardianship chặt</x:v>
      </x:c>
      <x:c r="W20" s="13" t="str">
        <x:v>UK Child Pipeline</x:v>
      </x:c>
      <x:c r="X20" s="13" t="str">
        <x:v>Active</x:v>
      </x:c>
      <x:c r="Y20" s="13" t="str">
        <x:v>Medium</x:v>
      </x:c>
      <x:c r="Z20" s="13" t="str">
        <x:v>User-provided</x:v>
      </x:c>
    </x:row>
    <x:row r="21">
      <x:c r="A21" s="13" t="n">
        <x:v>20</x:v>
      </x:c>
      <x:c r="B21" s="13" t="str">
        <x:v>Châu Âu</x:v>
      </x:c>
      <x:c r="C21" s="13" t="str">
        <x:v>Anh Quốc</x:v>
      </x:c>
      <x:c r="D21" s="13" t="str">
        <x:v>UK</x:v>
      </x:c>
      <x:c r="E21" s="13" t="str">
        <x:v>UK-STUDY-SHORT-11M</x:v>
      </x:c>
      <x:c r="F21" s="13" t="str">
        <x:v>VIS-UK-ST03</x:v>
      </x:c>
      <x:c r="G21" s="13" t="str">
        <x:v>Short-term Study Visa UK</x:v>
      </x:c>
      <x:c r="H21" s="13" t="str">
        <x:v>Short-term Study</x:v>
      </x:c>
      <x:c r="I21" s="13" t="str">
        <x:v>STUDY</x:v>
      </x:c>
      <x:c r="J21" s="13" t="str">
        <x:v>LANG</x:v>
      </x:c>
      <x:c r="K21" s="13" t="str">
        <x:v>6-11 tháng</x:v>
      </x:c>
      <x:c r="L21" s="13" t="str">
        <x:v>Khóa tiếng Anh 6-11 tháng</x:v>
      </x:c>
      <x:c r="M21" s="13" t="str">
        <x:v>Người học tiếng Anh</x:v>
      </x:c>
      <x:c r="N21" s="13" t="str">
        <x:v>Letter khóa học tiếng</x:v>
      </x:c>
      <x:c r="O21" s="13" t="str">
        <x:v>Tài chính/lưu trú</x:v>
      </x:c>
      <x:c r="P21" s="13" t="str">
        <x:v>UKVI online</x:v>
      </x:c>
      <x:c r="Q21" s="13" t="str">
        <x:v>UKVI</x:v>
      </x:c>
      <x:c r="R21" s="13" t="str">
        <x:v>Biometrics</x:v>
      </x:c>
      <x:c r="S21" s="13" t="str">
        <x:v>Theo UKVI</x:v>
      </x:c>
      <x:c r="T21" s="13" t="str">
        <x:v>Không làm thêm</x:v>
      </x:c>
      <x:c r="U21" s="13" t="str">
        <x:v>Không pathway trực tiếp</x:v>
      </x:c>
      <x:c r="V21" s="13" t="str">
        <x:v>Chỉ dùng học tiếng ngắn hạn</x:v>
      </x:c>
      <x:c r="W21" s="13" t="str">
        <x:v>UK Short Study</x:v>
      </x:c>
      <x:c r="X21" s="13" t="str">
        <x:v>Active</x:v>
      </x:c>
      <x:c r="Y21" s="13" t="str">
        <x:v>Low</x:v>
      </x:c>
      <x:c r="Z21" s="13" t="str">
        <x:v>User-provided</x:v>
      </x:c>
    </x:row>
    <x:row r="22">
      <x:c r="A22" s="13" t="n">
        <x:v>21</x:v>
      </x:c>
      <x:c r="B22" s="13" t="str">
        <x:v>Châu Âu</x:v>
      </x:c>
      <x:c r="C22" s="13" t="str">
        <x:v>Anh Quốc</x:v>
      </x:c>
      <x:c r="D22" s="13" t="str">
        <x:v>UK</x:v>
      </x:c>
      <x:c r="E22" s="13" t="str">
        <x:v>UK-STUDY-VISITOR-6M</x:v>
      </x:c>
      <x:c r="F22" s="13" t="str">
        <x:v>VIS-UK-ST04</x:v>
      </x:c>
      <x:c r="G22" s="13" t="str">
        <x:v>Standard Visitor học ngắn hạn</x:v>
      </x:c>
      <x:c r="H22" s="13" t="str">
        <x:v>Visitor Study</x:v>
      </x:c>
      <x:c r="I22" s="13" t="str">
        <x:v>STUDY</x:v>
      </x:c>
      <x:c r="J22" s="13" t="str">
        <x:v>SHORT</x:v>
      </x:c>
      <x:c r="K22" s="13" t="str">
        <x:v>&lt;6 tháng</x:v>
      </x:c>
      <x:c r="L22" s="13" t="str">
        <x:v>Khóa ngắn/research dưới 6 tháng</x:v>
      </x:c>
      <x:c r="M22" s="13" t="str">
        <x:v>Người học ngắn hạn</x:v>
      </x:c>
      <x:c r="N22" s="13" t="str">
        <x:v>Thư mời khóa học</x:v>
      </x:c>
      <x:c r="O22" s="13" t="str">
        <x:v>Tài chính/lịch trình</x:v>
      </x:c>
      <x:c r="P22" s="13" t="str">
        <x:v>UKVI online</x:v>
      </x:c>
      <x:c r="Q22" s="13" t="str">
        <x:v>UKVI</x:v>
      </x:c>
      <x:c r="R22" s="13" t="str">
        <x:v>Biometrics nếu cần</x:v>
      </x:c>
      <x:c r="S22" s="13" t="str">
        <x:v>Theo UKVI</x:v>
      </x:c>
      <x:c r="T22" s="13" t="str">
        <x:v>Không làm thêm</x:v>
      </x:c>
      <x:c r="U22" s="13" t="str">
        <x:v>Không pathway</x:v>
      </x:c>
      <x:c r="V22" s="13" t="str">
        <x:v>Cần chứng minh quay về</x:v>
      </x:c>
      <x:c r="W22" s="13" t="str">
        <x:v>UK Visitor Study</x:v>
      </x:c>
      <x:c r="X22" s="13" t="str">
        <x:v>Active</x:v>
      </x:c>
      <x:c r="Y22" s="13" t="str">
        <x:v>Low</x:v>
      </x:c>
      <x:c r="Z22" s="13" t="str">
        <x:v>User-provided</x:v>
      </x:c>
    </x:row>
    <x:row r="23">
      <x:c r="A23" s="13" t="n">
        <x:v>22</x:v>
      </x:c>
      <x:c r="B23" s="13" t="str">
        <x:v>Anh ngữ</x:v>
      </x:c>
      <x:c r="C23" s="13" t="str">
        <x:v>Mỹ</x:v>
      </x:c>
      <x:c r="D23" s="13" t="str">
        <x:v>US</x:v>
      </x:c>
      <x:c r="E23" s="13" t="str">
        <x:v>US-STUDY-F1-ACADEMIC</x:v>
      </x:c>
      <x:c r="F23" s="13" t="str">
        <x:v>VIS-US-ST01</x:v>
      </x:c>
      <x:c r="G23" s="13" t="str">
        <x:v>Du học chính quy Mỹ</x:v>
      </x:c>
      <x:c r="H23" s="13" t="str">
        <x:v>F-1</x:v>
      </x:c>
      <x:c r="I23" s="13" t="str">
        <x:v>STUDY</x:v>
      </x:c>
      <x:c r="J23" s="13" t="str">
        <x:v>UNI</x:v>
      </x:c>
      <x:c r="K23" s="13" t="str">
        <x:v>Academic</x:v>
      </x:c>
      <x:c r="L23" s="13" t="str">
        <x:v>English/K12/College/University/Graduate</x:v>
      </x:c>
      <x:c r="M23" s="13" t="str">
        <x:v>HS/SV chính quy</x:v>
      </x:c>
      <x:c r="N23" s="13" t="str">
        <x:v>I-20; tiếng Anh tùy trường</x:v>
      </x:c>
      <x:c r="O23" s="13" t="str">
        <x:v>Tài chính sponsor/statement</x:v>
      </x:c>
      <x:c r="P23" s="13" t="str">
        <x:v>DS-160 + SEVIS + I-20</x:v>
      </x:c>
      <x:c r="Q23" s="13" t="str">
        <x:v>US Travel Docs/CEAC</x:v>
      </x:c>
      <x:c r="R23" s="13" t="str">
        <x:v>Phỏng vấn LSQ</x:v>
      </x:c>
      <x:c r="S23" s="13" t="str">
        <x:v>Theo lịch hẹn LSQ</x:v>
      </x:c>
      <x:c r="T23" s="13" t="str">
        <x:v>CPT/OPT theo điều kiện</x:v>
      </x:c>
      <x:c r="U23" s="13" t="str">
        <x:v>OPT/STEM OPT nếu đủ điều kiện</x:v>
      </x:c>
      <x:c r="V23" s="13" t="str">
        <x:v>Phỏng vấn và mục đích học quan trọng</x:v>
      </x:c>
      <x:c r="W23" s="13" t="str">
        <x:v>US F1 Pipeline</x:v>
      </x:c>
      <x:c r="X23" s="13" t="str">
        <x:v>Active</x:v>
      </x:c>
      <x:c r="Y23" s="13" t="str">
        <x:v>High</x:v>
      </x:c>
      <x:c r="Z23" s="13" t="str">
        <x:v>User-provided</x:v>
      </x:c>
    </x:row>
    <x:row r="24">
      <x:c r="A24" s="13" t="n">
        <x:v>23</x:v>
      </x:c>
      <x:c r="B24" s="13" t="str">
        <x:v>Anh ngữ</x:v>
      </x:c>
      <x:c r="C24" s="13" t="str">
        <x:v>Mỹ</x:v>
      </x:c>
      <x:c r="D24" s="13" t="str">
        <x:v>US</x:v>
      </x:c>
      <x:c r="E24" s="13" t="str">
        <x:v>US-STUDY-M1-VOCATIONAL</x:v>
      </x:c>
      <x:c r="F24" s="13" t="str">
        <x:v>VIS-US-ST02</x:v>
      </x:c>
      <x:c r="G24" s="13" t="str">
        <x:v>Du học nghề Mỹ</x:v>
      </x:c>
      <x:c r="H24" s="13" t="str">
        <x:v>M-1</x:v>
      </x:c>
      <x:c r="I24" s="13" t="str">
        <x:v>STUDY</x:v>
      </x:c>
      <x:c r="J24" s="13" t="str">
        <x:v>VET</x:v>
      </x:c>
      <x:c r="K24" s="13" t="str">
        <x:v>Vocational</x:v>
      </x:c>
      <x:c r="L24" s="13" t="str">
        <x:v>Phi học thuật/kỹ thuật</x:v>
      </x:c>
      <x:c r="M24" s="13" t="str">
        <x:v>Học viên nghề</x:v>
      </x:c>
      <x:c r="N24" s="13" t="str">
        <x:v>I-20 M1; kế hoạch học nghề</x:v>
      </x:c>
      <x:c r="O24" s="13" t="str">
        <x:v>Tài chính đủ khóa</x:v>
      </x:c>
      <x:c r="P24" s="13" t="str">
        <x:v>DS-160 + SEVIS + I-20</x:v>
      </x:c>
      <x:c r="Q24" s="13" t="str">
        <x:v>US Travel Docs/CEAC</x:v>
      </x:c>
      <x:c r="R24" s="13" t="str">
        <x:v>Phỏng vấn LSQ</x:v>
      </x:c>
      <x:c r="S24" s="13" t="str">
        <x:v>Theo lịch hẹn LSQ</x:v>
      </x:c>
      <x:c r="T24" s="13" t="str">
        <x:v>Hạn chế hơn F1</x:v>
      </x:c>
      <x:c r="U24" s="13" t="str">
        <x:v>Pathway hạn chế</x:v>
      </x:c>
      <x:c r="V24" s="13" t="str">
        <x:v>Cần giải trình nghề sau về VN</x:v>
      </x:c>
      <x:c r="W24" s="13" t="str">
        <x:v>US M1 Pipeline</x:v>
      </x:c>
      <x:c r="X24" s="13" t="str">
        <x:v>Active</x:v>
      </x:c>
      <x:c r="Y24" s="13" t="str">
        <x:v>Medium</x:v>
      </x:c>
      <x:c r="Z24" s="13" t="str">
        <x:v>User-provided</x:v>
      </x:c>
    </x:row>
    <x:row r="25">
      <x:c r="A25" s="13" t="n">
        <x:v>24</x:v>
      </x:c>
      <x:c r="B25" s="13" t="str">
        <x:v>Anh ngữ</x:v>
      </x:c>
      <x:c r="C25" s="13" t="str">
        <x:v>Mỹ</x:v>
      </x:c>
      <x:c r="D25" s="13" t="str">
        <x:v>US</x:v>
      </x:c>
      <x:c r="E25" s="13" t="str">
        <x:v>US-STUDY-J1-EXCHANGE</x:v>
      </x:c>
      <x:c r="F25" s="13" t="str">
        <x:v>VIS-US-ST03</x:v>
      </x:c>
      <x:c r="G25" s="13" t="str">
        <x:v>Giao lưu văn hóa/trao đổi Mỹ</x:v>
      </x:c>
      <x:c r="H25" s="13" t="str">
        <x:v>J-1</x:v>
      </x:c>
      <x:c r="I25" s="13" t="str">
        <x:v>STUDY</x:v>
      </x:c>
      <x:c r="J25" s="13" t="str">
        <x:v>EXCH</x:v>
      </x:c>
      <x:c r="K25" s="13" t="str">
        <x:v>Exchange</x:v>
      </x:c>
      <x:c r="L25" s="13" t="str">
        <x:v>Chương trình trao đổi/thực tập được bảo trợ</x:v>
      </x:c>
      <x:c r="M25" s="13" t="str">
        <x:v>HS/SV/trainee theo sponsor</x:v>
      </x:c>
      <x:c r="N25" s="13" t="str">
        <x:v>DS-2019; tiếng Anh theo sponsor</x:v>
      </x:c>
      <x:c r="O25" s="13" t="str">
        <x:v>Tài chính/sponsor</x:v>
      </x:c>
      <x:c r="P25" s="13" t="str">
        <x:v>DS-160 + SEVIS + DS-2019</x:v>
      </x:c>
      <x:c r="Q25" s="13" t="str">
        <x:v>US Travel Docs/CEAC</x:v>
      </x:c>
      <x:c r="R25" s="13" t="str">
        <x:v>Phỏng vấn LSQ</x:v>
      </x:c>
      <x:c r="S25" s="13" t="str">
        <x:v>Theo lịch hẹn LSQ</x:v>
      </x:c>
      <x:c r="T25" s="13" t="str">
        <x:v>Theo J1 category</x:v>
      </x:c>
      <x:c r="U25" s="13" t="str">
        <x:v>Có thể có 2-year rule</x:v>
      </x:c>
      <x:c r="V25" s="13" t="str">
        <x:v>Phải đúng sponsor/category</x:v>
      </x:c>
      <x:c r="W25" s="13" t="str">
        <x:v>US J1 Pipeline</x:v>
      </x:c>
      <x:c r="X25" s="13" t="str">
        <x:v>Active</x:v>
      </x:c>
      <x:c r="Y25" s="13" t="str">
        <x:v>Medium</x:v>
      </x:c>
      <x:c r="Z25" s="13" t="str">
        <x:v>User-provided</x:v>
      </x:c>
    </x:row>
    <x:row r="26">
      <x:c r="A26" s="13" t="n">
        <x:v>25</x:v>
      </x:c>
      <x:c r="B26" s="13" t="str">
        <x:v>Anh ngữ</x:v>
      </x:c>
      <x:c r="C26" s="13" t="str">
        <x:v>Úc</x:v>
      </x:c>
      <x:c r="D26" s="13" t="str">
        <x:v>AU</x:v>
      </x:c>
      <x:c r="E26" s="13" t="str">
        <x:v>AU-STUDY-SUBCLASS500</x:v>
      </x:c>
      <x:c r="F26" s="13" t="str">
        <x:v>VIS-AU-ST01</x:v>
      </x:c>
      <x:c r="G26" s="13" t="str">
        <x:v>Student Visa Úc</x:v>
      </x:c>
      <x:c r="H26" s="13" t="str">
        <x:v>Subclass 500</x:v>
      </x:c>
      <x:c r="I26" s="13" t="str">
        <x:v>STUDY</x:v>
      </x:c>
      <x:c r="J26" s="13" t="str">
        <x:v>UNI</x:v>
      </x:c>
      <x:c r="K26" s="13" t="str">
        <x:v>All levels</x:v>
      </x:c>
      <x:c r="L26" s="13" t="str">
        <x:v>ELICOS/VET/School/HE/PG</x:v>
      </x:c>
      <x:c r="M26" s="13" t="str">
        <x:v>HS/SV du học Úc</x:v>
      </x:c>
      <x:c r="N26" s="13" t="str">
        <x:v>COE; GS/GTE; tiếng Anh tùy bậc</x:v>
      </x:c>
      <x:c r="O26" s="13" t="str">
        <x:v>Financial capacity theo yêu cầu</x:v>
      </x:c>
      <x:c r="P26" s="13" t="str">
        <x:v>ImmiAccount + COE</x:v>
      </x:c>
      <x:c r="Q26" s="13" t="str">
        <x:v>Department of Home Affairs</x:v>
      </x:c>
      <x:c r="R26" s="13" t="str">
        <x:v>Biometrics/Medical thường gặp</x:v>
      </x:c>
      <x:c r="S26" s="13" t="str">
        <x:v>Theo DOHA</x:v>
      </x:c>
      <x:c r="T26" s="13" t="str">
        <x:v>Theo điều kiện visa</x:v>
      </x:c>
      <x:c r="U26" s="13" t="str">
        <x:v>Post-study 485 nếu đủ điều kiện</x:v>
      </x:c>
      <x:c r="V26" s="13" t="str">
        <x:v>GS/GTE và tài chính rất quan trọng</x:v>
      </x:c>
      <x:c r="W26" s="13" t="str">
        <x:v>Australia Student 500</x:v>
      </x:c>
      <x:c r="X26" s="13" t="str">
        <x:v>Active</x:v>
      </x:c>
      <x:c r="Y26" s="13" t="str">
        <x:v>High</x:v>
      </x:c>
      <x:c r="Z26" s="13" t="str">
        <x:v>User-provided</x:v>
      </x:c>
    </x:row>
    <x:row r="27">
      <x:c r="A27" s="13" t="n">
        <x:v>26</x:v>
      </x:c>
      <x:c r="B27" s="13" t="str">
        <x:v>Anh ngữ</x:v>
      </x:c>
      <x:c r="C27" s="13" t="str">
        <x:v>Úc</x:v>
      </x:c>
      <x:c r="D27" s="13" t="str">
        <x:v>AU</x:v>
      </x:c>
      <x:c r="E27" s="13" t="str">
        <x:v>AU-STUDY-GD-SUBCLASS590</x:v>
      </x:c>
      <x:c r="F27" s="13" t="str">
        <x:v>VIS-AU-ST02</x:v>
      </x:c>
      <x:c r="G27" s="13" t="str">
        <x:v>Người giám hộ du học sinh Úc</x:v>
      </x:c>
      <x:c r="H27" s="13" t="str">
        <x:v>Subclass 590</x:v>
      </x:c>
      <x:c r="I27" s="13" t="str">
        <x:v>STUDY</x:v>
      </x:c>
      <x:c r="J27" s="13" t="str">
        <x:v>GD</x:v>
      </x:c>
      <x:c r="K27" s="13" t="str">
        <x:v>Guardian</x:v>
      </x:c>
      <x:c r="L27" s="13" t="str">
        <x:v>Giám hộ HS dưới 18 tuổi</x:v>
      </x:c>
      <x:c r="M27" s="13" t="str">
        <x:v>Cha/mẹ/người thân đủ điều kiện</x:v>
      </x:c>
      <x:c r="N27" s="13" t="str">
        <x:v>Chứng minh quan hệ và tài chính</x:v>
      </x:c>
      <x:c r="O27" s="13" t="str">
        <x:v>Tài chính cho người đi kèm</x:v>
      </x:c>
      <x:c r="P27" s="13" t="str">
        <x:v>ImmiAccount</x:v>
      </x:c>
      <x:c r="Q27" s="13" t="str">
        <x:v>Department of Home Affairs</x:v>
      </x:c>
      <x:c r="R27" s="13" t="str">
        <x:v>Biometrics/Medical</x:v>
      </x:c>
      <x:c r="S27" s="13" t="str">
        <x:v>Theo DOHA</x:v>
      </x:c>
      <x:c r="T27" s="13" t="str">
        <x:v>Không/giới hạn</x:v>
      </x:c>
      <x:c r="U27" s="13" t="str">
        <x:v>Theo con du học</x:v>
      </x:c>
      <x:c r="V27" s="13" t="str">
        <x:v>Rủi ro nếu không chứng minh quan hệ/tài chính</x:v>
      </x:c>
      <x:c r="W27" s="13" t="str">
        <x:v>Australia Guardian 590</x:v>
      </x:c>
      <x:c r="X27" s="13" t="str">
        <x:v>Active</x:v>
      </x:c>
      <x:c r="Y27" s="13" t="str">
        <x:v>Medium</x:v>
      </x:c>
      <x:c r="Z27" s="13" t="str">
        <x:v>User-provided</x:v>
      </x:c>
    </x:row>
    <x:row r="28">
      <x:c r="A28" s="13" t="n">
        <x:v>27</x:v>
      </x:c>
      <x:c r="B28" s="13" t="str">
        <x:v>Anh ngữ</x:v>
      </x:c>
      <x:c r="C28" s="13" t="str">
        <x:v>Canada</x:v>
      </x:c>
      <x:c r="D28" s="13" t="str">
        <x:v>CA</x:v>
      </x:c>
      <x:c r="E28" s="13" t="str">
        <x:v>CA-STUDY-PERMIT-REGULAR</x:v>
      </x:c>
      <x:c r="F28" s="13" t="str">
        <x:v>VIS-CA-ST01</x:v>
      </x:c>
      <x:c r="G28" s="13" t="str">
        <x:v>Study Permit Canada thường</x:v>
      </x:c>
      <x:c r="H28" s="13" t="str">
        <x:v>Study Permit</x:v>
      </x:c>
      <x:c r="I28" s="13" t="str">
        <x:v>STUDY</x:v>
      </x:c>
      <x:c r="J28" s="13" t="str">
        <x:v>PERMIT</x:v>
      </x:c>
      <x:c r="K28" s="13" t="str">
        <x:v>Long-term</x:v>
      </x:c>
      <x:c r="L28" s="13" t="str">
        <x:v>Khóa học trên 6 tháng</x:v>
      </x:c>
      <x:c r="M28" s="13" t="str">
        <x:v>HS/SV vào DLI</x:v>
      </x:c>
      <x:c r="N28" s="13" t="str">
        <x:v>LOA; PAL/TAL nếu áp dụng; tiếng Anh theo trường</x:v>
      </x:c>
      <x:c r="O28" s="13" t="str">
        <x:v>Chứng minh tài chính theo IRCC</x:v>
      </x:c>
      <x:c r="P28" s="13" t="str">
        <x:v>IRCC Portal/GCKey</x:v>
      </x:c>
      <x:c r="Q28" s="13" t="str">
        <x:v>IRCC/VAC</x:v>
      </x:c>
      <x:c r="R28" s="13" t="str">
        <x:v>Biometrics/Medical tùy case</x:v>
      </x:c>
      <x:c r="S28" s="13" t="str">
        <x:v>Theo IRCC</x:v>
      </x:c>
      <x:c r="T28" s="13" t="str">
        <x:v>Theo điều kiện SP</x:v>
      </x:c>
      <x:c r="U28" s="13" t="str">
        <x:v>PGWP nếu chương trình/trường đủ điều kiện</x:v>
      </x:c>
      <x:c r="V28" s="13" t="str">
        <x:v>PAL/financial &amp; study plan là trọng tâm</x:v>
      </x:c>
      <x:c r="W28" s="13" t="str">
        <x:v>Canada Study Permit</x:v>
      </x:c>
      <x:c r="X28" s="13" t="str">
        <x:v>Active</x:v>
      </x:c>
      <x:c r="Y28" s="13" t="str">
        <x:v>High</x:v>
      </x:c>
      <x:c r="Z28" s="13" t="str">
        <x:v>User-provided + cần cập nhật IRCC</x:v>
      </x:c>
    </x:row>
    <x:row r="29">
      <x:c r="A29" s="13" t="n">
        <x:v>28</x:v>
      </x:c>
      <x:c r="B29" s="13" t="str">
        <x:v>Anh ngữ</x:v>
      </x:c>
      <x:c r="C29" s="13" t="str">
        <x:v>Canada</x:v>
      </x:c>
      <x:c r="D29" s="13" t="str">
        <x:v>CA</x:v>
      </x:c>
      <x:c r="E29" s="13" t="str">
        <x:v>CA-STUDY-PERMIT-SDS</x:v>
      </x:c>
      <x:c r="F29" s="13" t="str">
        <x:v>VIS-CA-ST02</x:v>
      </x:c>
      <x:c r="G29" s="13" t="str">
        <x:v>Study Permit diện SDS</x:v>
      </x:c>
      <x:c r="H29" s="13" t="str">
        <x:v>SDS</x:v>
      </x:c>
      <x:c r="I29" s="13" t="str">
        <x:v>STUDY</x:v>
      </x:c>
      <x:c r="J29" s="13" t="str">
        <x:v>PERMIT</x:v>
      </x:c>
      <x:c r="K29" s="13" t="str">
        <x:v>Priority stream</x:v>
      </x:c>
      <x:c r="L29" s="13" t="str">
        <x:v>Diện ưu tiên nếu còn áp dụng</x:v>
      </x:c>
      <x:c r="M29" s="13" t="str">
        <x:v>HS/SV đáp ứng tiêu chuẩn SDS</x:v>
      </x:c>
      <x:c r="N29" s="13" t="str">
        <x:v>IELTS/TEF/điều kiện theo IRCC từng thời điểm</x:v>
      </x:c>
      <x:c r="O29" s="13" t="str">
        <x:v>GIC + học phí theo yêu cầu</x:v>
      </x:c>
      <x:c r="P29" s="13" t="str">
        <x:v>IRCC Portal/GCKey</x:v>
      </x:c>
      <x:c r="Q29" s="13" t="str">
        <x:v>IRCC/VAC</x:v>
      </x:c>
      <x:c r="R29" s="13" t="str">
        <x:v>Biometrics/Medical</x:v>
      </x:c>
      <x:c r="S29" s="13" t="str">
        <x:v>Theo IRCC</x:v>
      </x:c>
      <x:c r="T29" s="13" t="str">
        <x:v>Theo điều kiện SP</x:v>
      </x:c>
      <x:c r="U29" s="13" t="str">
        <x:v>PGWP nếu đủ điều kiện</x:v>
      </x:c>
      <x:c r="V29" s="13" t="str">
        <x:v>SDS có thể thay đổi theo chính sách</x:v>
      </x:c>
      <x:c r="W29" s="13" t="str">
        <x:v>Canada SDS Pipeline</x:v>
      </x:c>
      <x:c r="X29" s="13" t="str">
        <x:v>Review</x:v>
      </x:c>
      <x:c r="Y29" s="13" t="str">
        <x:v>Medium</x:v>
      </x:c>
      <x:c r="Z29" s="13" t="str">
        <x:v>User-provided + cần cập nhật IRCC</x:v>
      </x:c>
    </x:row>
    <x:row r="30">
      <x:c r="A30" s="13" t="n">
        <x:v>29</x:v>
      </x:c>
      <x:c r="B30" s="13" t="str">
        <x:v>Anh ngữ</x:v>
      </x:c>
      <x:c r="C30" s="13" t="str">
        <x:v>Canada</x:v>
      </x:c>
      <x:c r="D30" s="13" t="str">
        <x:v>CA</x:v>
      </x:c>
      <x:c r="E30" s="13" t="str">
        <x:v>CA-STUDY-VISITOR-SHORT</x:v>
      </x:c>
      <x:c r="F30" s="13" t="str">
        <x:v>VIS-CA-ST03</x:v>
      </x:c>
      <x:c r="G30" s="13" t="str">
        <x:v>Khóa học ngắn hạn Canada</x:v>
      </x:c>
      <x:c r="H30" s="13" t="str">
        <x:v>Visitor/eTA study short</x:v>
      </x:c>
      <x:c r="I30" s="13" t="str">
        <x:v>STUDY</x:v>
      </x:c>
      <x:c r="J30" s="13" t="str">
        <x:v>SHORT</x:v>
      </x:c>
      <x:c r="K30" s="13" t="str">
        <x:v>&lt;6 tháng</x:v>
      </x:c>
      <x:c r="L30" s="13" t="str">
        <x:v>Khóa học dưới 6 tháng</x:v>
      </x:c>
      <x:c r="M30" s="13" t="str">
        <x:v>Người học ngắn hạn</x:v>
      </x:c>
      <x:c r="N30" s="13" t="str">
        <x:v>Thư mời khóa học</x:v>
      </x:c>
      <x:c r="O30" s="13" t="str">
        <x:v>Tài chính/lịch trình</x:v>
      </x:c>
      <x:c r="P30" s="13" t="str">
        <x:v>TRV/eTA application</x:v>
      </x:c>
      <x:c r="Q30" s="13" t="str">
        <x:v>IRCC/VAC</x:v>
      </x:c>
      <x:c r="R30" s="13" t="str">
        <x:v>Biometrics tùy quốc tịch</x:v>
      </x:c>
      <x:c r="S30" s="13" t="str">
        <x:v>Theo IRCC</x:v>
      </x:c>
      <x:c r="T30" s="13" t="str">
        <x:v>Không làm thêm</x:v>
      </x:c>
      <x:c r="U30" s="13" t="str">
        <x:v>Không PGWP</x:v>
      </x:c>
      <x:c r="V30" s="13" t="str">
        <x:v>Không cần Study Permit nếu khóa &lt;6 tháng theo quy định</x:v>
      </x:c>
      <x:c r="W30" s="13" t="str">
        <x:v>Canada Visitor Study</x:v>
      </x:c>
      <x:c r="X30" s="13" t="str">
        <x:v>Active</x:v>
      </x:c>
      <x:c r="Y30" s="13" t="str">
        <x:v>Low</x:v>
      </x:c>
      <x:c r="Z30" s="13" t="str">
        <x:v>User-provided</x:v>
      </x:c>
    </x:row>
    <x:row r="31">
      <x:c r="A31" s="13" t="n">
        <x:v>30</x:v>
      </x:c>
      <x:c r="B31" s="13" t="str">
        <x:v>Anh ngữ</x:v>
      </x:c>
      <x:c r="C31" s="13" t="str">
        <x:v>New Zealand</x:v>
      </x:c>
      <x:c r="D31" s="13" t="str">
        <x:v>NZ</x:v>
      </x:c>
      <x:c r="E31" s="13" t="str">
        <x:v>NZ-STUDY-FEE-PAYING</x:v>
      </x:c>
      <x:c r="F31" s="13" t="str">
        <x:v>VIS-NZ-ST01</x:v>
      </x:c>
      <x:c r="G31" s="13" t="str">
        <x:v>Fee Paying Student Visa</x:v>
      </x:c>
      <x:c r="H31" s="13" t="str">
        <x:v>Fee Paying</x:v>
      </x:c>
      <x:c r="I31" s="13" t="str">
        <x:v>STUDY</x:v>
      </x:c>
      <x:c r="J31" s="13" t="str">
        <x:v>UNI</x:v>
      </x:c>
      <x:c r="K31" s="13" t="str">
        <x:v>&gt;3 tháng</x:v>
      </x:c>
      <x:c r="L31" s="13" t="str">
        <x:v>Du học tự túc</x:v>
      </x:c>
      <x:c r="M31" s="13" t="str">
        <x:v>HS/SV đóng học phí</x:v>
      </x:c>
      <x:c r="N31" s="13" t="str">
        <x:v>Offer of place; tiếng Anh tùy trường</x:v>
      </x:c>
      <x:c r="O31" s="13" t="str">
        <x:v>Tài chính/học phí/bảo hiểm</x:v>
      </x:c>
      <x:c r="P31" s="13" t="str">
        <x:v>Immigration NZ online</x:v>
      </x:c>
      <x:c r="Q31" s="13" t="str">
        <x:v>Immigration New Zealand</x:v>
      </x:c>
      <x:c r="R31" s="13" t="str">
        <x:v>Medical/chest x-ray tùy case</x:v>
      </x:c>
      <x:c r="S31" s="13" t="str">
        <x:v>Theo INZ</x:v>
      </x:c>
      <x:c r="T31" s="13" t="str">
        <x:v>Theo điều kiện visa</x:v>
      </x:c>
      <x:c r="U31" s="13" t="str">
        <x:v>Post-study work nếu đủ điều kiện</x:v>
      </x:c>
      <x:c r="V31" s="13" t="str">
        <x:v>Cần offer/tài chính rõ</x:v>
      </x:c>
      <x:c r="W31" s="13" t="str">
        <x:v>NZ Fee Paying Pipeline</x:v>
      </x:c>
      <x:c r="X31" s="13" t="str">
        <x:v>Active</x:v>
      </x:c>
      <x:c r="Y31" s="13" t="str">
        <x:v>Medium</x:v>
      </x:c>
      <x:c r="Z31" s="13" t="str">
        <x:v>User-provided</x:v>
      </x:c>
    </x:row>
    <x:row r="32">
      <x:c r="A32" s="13" t="n">
        <x:v>31</x:v>
      </x:c>
      <x:c r="B32" s="13" t="str">
        <x:v>Anh ngữ</x:v>
      </x:c>
      <x:c r="C32" s="13" t="str">
        <x:v>New Zealand</x:v>
      </x:c>
      <x:c r="D32" s="13" t="str">
        <x:v>NZ</x:v>
      </x:c>
      <x:c r="E32" s="13" t="str">
        <x:v>NZ-STUDY-PATHWAY</x:v>
      </x:c>
      <x:c r="F32" s="13" t="str">
        <x:v>VIS-NZ-ST02</x:v>
      </x:c>
      <x:c r="G32" s="13" t="str">
        <x:v>Pathway Student Visa</x:v>
      </x:c>
      <x:c r="H32" s="13" t="str">
        <x:v>Pathway</x:v>
      </x:c>
      <x:c r="I32" s="13" t="str">
        <x:v>STUDY</x:v>
      </x:c>
      <x:c r="J32" s="13" t="str">
        <x:v>SOP</x:v>
      </x:c>
      <x:c r="K32" s="13" t="str">
        <x:v>Pathway</x:v>
      </x:c>
      <x:c r="L32" s="13" t="str">
        <x:v>Tối đa 3 khóa liên tiếp/1 visa</x:v>
      </x:c>
      <x:c r="M32" s="13" t="str">
        <x:v>HS/SV học lộ trình liên tiếp</x:v>
      </x:c>
      <x:c r="N32" s="13" t="str">
        <x:v>Offer/pathway package</x:v>
      </x:c>
      <x:c r="O32" s="13" t="str">
        <x:v>Tài chính cho lộ trình</x:v>
      </x:c>
      <x:c r="P32" s="13" t="str">
        <x:v>Immigration NZ online</x:v>
      </x:c>
      <x:c r="Q32" s="13" t="str">
        <x:v>Immigration New Zealand</x:v>
      </x:c>
      <x:c r="R32" s="13" t="str">
        <x:v>Medical/chest x-ray tùy case</x:v>
      </x:c>
      <x:c r="S32" s="13" t="str">
        <x:v>Theo INZ</x:v>
      </x:c>
      <x:c r="T32" s="13" t="str">
        <x:v>Theo điều kiện visa</x:v>
      </x:c>
      <x:c r="U32" s="13" t="str">
        <x:v>Post-study nếu đủ điều kiện</x:v>
      </x:c>
      <x:c r="V32" s="13" t="str">
        <x:v>Cần các khóa liên kết rõ</x:v>
      </x:c>
      <x:c r="W32" s="13" t="str">
        <x:v>NZ Pathway Pipeline</x:v>
      </x:c>
      <x:c r="X32" s="13" t="str">
        <x:v>Active</x:v>
      </x:c>
      <x:c r="Y32" s="13" t="str">
        <x:v>Medium</x:v>
      </x:c>
      <x:c r="Z32" s="13" t="str">
        <x:v>User-provided</x:v>
      </x:c>
    </x:row>
    <x:row r="33">
      <x:c r="A33" s="13" t="n">
        <x:v>32</x:v>
      </x:c>
      <x:c r="B33" s="13" t="str">
        <x:v>Anh ngữ</x:v>
      </x:c>
      <x:c r="C33" s="13" t="str">
        <x:v>New Zealand</x:v>
      </x:c>
      <x:c r="D33" s="13" t="str">
        <x:v>NZ</x:v>
      </x:c>
      <x:c r="E33" s="13" t="str">
        <x:v>NZ-STUDY-EXCHANGE</x:v>
      </x:c>
      <x:c r="F33" s="13" t="str">
        <x:v>VIS-NZ-ST03</x:v>
      </x:c>
      <x:c r="G33" s="13" t="str">
        <x:v>Exchange Student Visa</x:v>
      </x:c>
      <x:c r="H33" s="13" t="str">
        <x:v>Exchange</x:v>
      </x:c>
      <x:c r="I33" s="13" t="str">
        <x:v>STUDY</x:v>
      </x:c>
      <x:c r="J33" s="13" t="str">
        <x:v>EXCH</x:v>
      </x:c>
      <x:c r="K33" s="13" t="str">
        <x:v>Exchange</x:v>
      </x:c>
      <x:c r="L33" s="13" t="str">
        <x:v>Chương trình trao đổi được phê duyệt</x:v>
      </x:c>
      <x:c r="M33" s="13" t="str">
        <x:v>SV trao đổi</x:v>
      </x:c>
      <x:c r="N33" s="13" t="str">
        <x:v>Nomination/approval</x:v>
      </x:c>
      <x:c r="O33" s="13" t="str">
        <x:v>Tài chính/sponsor</x:v>
      </x:c>
      <x:c r="P33" s="13" t="str">
        <x:v>Immigration NZ online</x:v>
      </x:c>
      <x:c r="Q33" s="13" t="str">
        <x:v>Immigration New Zealand</x:v>
      </x:c>
      <x:c r="R33" s="13" t="str">
        <x:v>Theo yêu cầu</x:v>
      </x:c>
      <x:c r="S33" s="13" t="str">
        <x:v>Theo INZ</x:v>
      </x:c>
      <x:c r="T33" s="13" t="str">
        <x:v>Theo điều kiện visa</x:v>
      </x:c>
      <x:c r="U33" s="13" t="str">
        <x:v>Trao đổi học thuật</x:v>
      </x:c>
      <x:c r="V33" s="13" t="str">
        <x:v>Cần chương trình được phê duyệt</x:v>
      </x:c>
      <x:c r="W33" s="13" t="str">
        <x:v>NZ Exchange Pipeline</x:v>
      </x:c>
      <x:c r="X33" s="13" t="str">
        <x:v>Active</x:v>
      </x:c>
      <x:c r="Y33" s="13" t="str">
        <x:v>Low</x:v>
      </x:c>
      <x:c r="Z33" s="13" t="str">
        <x:v>User-provided</x:v>
      </x:c>
    </x:row>
    <x:row r="34">
      <x:c r="A34" s="13" t="n">
        <x:v>33</x:v>
      </x:c>
      <x:c r="B34" s="13" t="str">
        <x:v>Anh ngữ</x:v>
      </x:c>
      <x:c r="C34" s="13" t="str">
        <x:v>New Zealand</x:v>
      </x:c>
      <x:c r="D34" s="13" t="str">
        <x:v>NZ</x:v>
      </x:c>
      <x:c r="E34" s="13" t="str">
        <x:v>NZ-STUDY-FOREIGN-DOMESTIC</x:v>
      </x:c>
      <x:c r="F34" s="13" t="str">
        <x:v>VIS-NZ-ST04</x:v>
      </x:c>
      <x:c r="G34" s="13" t="str">
        <x:v>Foreign Domestic Student Visa</x:v>
      </x:c>
      <x:c r="H34" s="13" t="str">
        <x:v>Foreign Domestic</x:v>
      </x:c>
      <x:c r="I34" s="13" t="str">
        <x:v>STUDY</x:v>
      </x:c>
      <x:c r="J34" s="13" t="str">
        <x:v>CHILD</x:v>
      </x:c>
      <x:c r="K34" s="13" t="str">
        <x:v>Dependent child</x:v>
      </x:c>
      <x:c r="L34" s="13" t="str">
        <x:v>Con của người giữ visa phù hợp</x:v>
      </x:c>
      <x:c r="M34" s="13" t="str">
        <x:v>Con phụ thuộc của WP/PhD holder</x:v>
      </x:c>
      <x:c r="N34" s="13" t="str">
        <x:v>Theo tình trạng visa phụ huynh</x:v>
      </x:c>
      <x:c r="O34" s="13" t="str">
        <x:v>Theo hồ sơ gia đình</x:v>
      </x:c>
      <x:c r="P34" s="13" t="str">
        <x:v>Immigration NZ online</x:v>
      </x:c>
      <x:c r="Q34" s="13" t="str">
        <x:v>Immigration New Zealand</x:v>
      </x:c>
      <x:c r="R34" s="13" t="str">
        <x:v>Theo yêu cầu</x:v>
      </x:c>
      <x:c r="S34" s="13" t="str">
        <x:v>Theo INZ</x:v>
      </x:c>
      <x:c r="T34" s="13" t="str">
        <x:v>Theo điều kiện visa</x:v>
      </x:c>
      <x:c r="U34" s="13" t="str">
        <x:v>Học như domestic nếu đủ điều kiện</x:v>
      </x:c>
      <x:c r="V34" s="13" t="str">
        <x:v>Cần kiểm tra visa phụ huynh</x:v>
      </x:c>
      <x:c r="W34" s="13" t="str">
        <x:v>NZ Dependent Study</x:v>
      </x:c>
      <x:c r="X34" s="13" t="str">
        <x:v>Active</x:v>
      </x:c>
      <x:c r="Y34" s="13" t="str">
        <x:v>Low</x:v>
      </x:c>
      <x:c r="Z34" s="13" t="str">
        <x:v>User-provided</x:v>
      </x:c>
    </x:row>
  </x:sheetData>
  <x:conditionalFormatting sqref="X2:X200">
    <x:cfRule type="expression" dxfId="0" priority="1">
      <x:formula>X2="Active"</x:formula>
    </x:cfRule>
    <x:cfRule type="expression" dxfId="1" priority="2">
      <x:formula>X2="Review"</x:formula>
    </x:cfRule>
    <x:cfRule type="expression" dxfId="2" priority="3">
      <x:formula>X2="Inactive"</x:formula>
    </x:cfRule>
  </x:conditionalFormatting>
  <x:dataValidations count="3">
    <x:dataValidation type="list" sqref="X2:X200">
      <x:formula1>99_Lists!$E$2:$E$5</x:formula1>
    </x:dataValidation>
    <x:dataValidation type="list" sqref="Y2:Y200">
      <x:formula1>99_Lists!$F$2:$F$4</x:formula1>
    </x:dataValidation>
    <x:dataValidation type="list" sqref="J2:J200">
      <x:formula1>99_Lists!$D$2:$D$11</x:formula1>
    </x:dataValidation>
  </x:dataValidations>
  <x:pageMargins left="0.7" right="0.7" top="0.75" bottom="0.75" header="0.3" footer="0.3"/>
  <x:tableParts count="1">
    <x:tablePart xmlns:r="http://schemas.openxmlformats.org/officeDocument/2006/relationships" r:id="Rdfd203814737400c"/>
  </x:tableParts>
</x:worksheet>
</file>

<file path=xl/worksheets/sheet3.xml><?xml version="1.0" encoding="utf-8"?>
<x:worksheet xmlns:x="http://schemas.openxmlformats.org/spreadsheetml/2006/main">
  <x:sheetFormatPr defaultRowHeight="15"/>
  <x:cols>
    <x:col min="1" max="1" width="16" hidden="0" customWidth="1"/>
    <x:col min="2" max="2" width="24" hidden="0" customWidth="1"/>
    <x:col min="3" max="3" width="14" hidden="0" customWidth="1"/>
    <x:col min="4" max="4" width="14" hidden="0" customWidth="1"/>
    <x:col min="5" max="5" width="32" hidden="0" customWidth="1"/>
    <x:col min="6" max="6" width="12" hidden="0" customWidth="1"/>
    <x:col min="7" max="7" width="18" hidden="0" customWidth="1"/>
    <x:col min="8" max="8" width="18" hidden="0" customWidth="1"/>
    <x:col min="9" max="9" width="40" hidden="0" customWidth="1"/>
    <x:col min="10" max="10" width="18" hidden="0" customWidth="1"/>
  </x:cols>
  <x:sheetData>
    <x:row r="1">
      <x:c r="A1" s="72" t="str">
        <x:v>Checklist ID</x:v>
      </x:c>
      <x:c r="B1" s="72" t="str">
        <x:v>Visa Code Chuẩn</x:v>
      </x:c>
      <x:c r="C1" s="72" t="str">
        <x:v>Country</x:v>
      </x:c>
      <x:c r="D1" s="72" t="str">
        <x:v>Doc Group</x:v>
      </x:c>
      <x:c r="E1" s="72" t="str">
        <x:v>Document Name</x:v>
      </x:c>
      <x:c r="F1" s="72" t="str">
        <x:v>Required?</x:v>
      </x:c>
      <x:c r="G1" s="72" t="str">
        <x:v>Applicant/Sponsor</x:v>
      </x:c>
      <x:c r="H1" s="72" t="str">
        <x:v>Stage</x:v>
      </x:c>
      <x:c r="I1" s="72" t="str">
        <x:v>Notes</x:v>
      </x:c>
      <x:c r="J1" s="72" t="str">
        <x:v>Template/Form Ref</x:v>
      </x:c>
      <x:c r="K1" s="13"/>
      <x:c r="L1" s="13"/>
      <x:c r="M1" s="13"/>
      <x:c r="N1" s="13"/>
      <x:c r="O1" s="13"/>
      <x:c r="P1" s="13"/>
      <x:c r="Q1" s="13"/>
      <x:c r="R1" s="13"/>
      <x:c r="S1" s="13"/>
      <x:c r="T1" s="13"/>
      <x:c r="U1" s="13"/>
      <x:c r="V1" s="13"/>
      <x:c r="W1" s="13"/>
      <x:c r="X1" s="13"/>
      <x:c r="Y1" s="13"/>
      <x:c r="Z1" s="13"/>
    </x:row>
    <x:row r="2">
      <x:c r="A2" s="13" t="str">
        <x:v>CHK-ST-0001</x:v>
      </x:c>
      <x:c r="B2" s="13" t="str">
        <x:v>KR-STUDY-LANG-D41</x:v>
      </x:c>
      <x:c r="C2" s="13" t="str">
        <x:v>Hàn Quốc</x:v>
      </x:c>
      <x:c r="D2" s="13" t="str">
        <x:v>PERSONAL</x:v>
      </x:c>
      <x:c r="E2" s="13" t="str">
        <x:v>Hộ chiếu còn hạn</x:v>
      </x:c>
      <x:c r="F2" s="13" t="str">
        <x:v>Bắt buộc</x:v>
      </x:c>
      <x:c r="G2" s="13" t="str">
        <x:v>Applicant</x:v>
      </x:c>
      <x:c r="H2" s="13" t="str">
        <x:v>Intake</x:v>
      </x:c>
      <x:c r="I2" s="13" t="str">
        <x:v>Scan màu đủ trang thông tin và lịch sử visa</x:v>
      </x:c>
      <x:c r="J2" s="13" t="str"/>
    </x:row>
    <x:row r="3">
      <x:c r="A3" s="13" t="str">
        <x:v>CHK-ST-0002</x:v>
      </x:c>
      <x:c r="B3" s="13" t="str">
        <x:v>KR-STUDY-LANG-D41</x:v>
      </x:c>
      <x:c r="C3" s="13" t="str">
        <x:v>Hàn Quốc</x:v>
      </x:c>
      <x:c r="D3" s="13" t="str">
        <x:v>PERSONAL</x:v>
      </x:c>
      <x:c r="E3" s="13" t="str">
        <x:v>Ảnh thẻ đúng chuẩn lãnh sự</x:v>
      </x:c>
      <x:c r="F3" s="13" t="str">
        <x:v>Bắt buộc</x:v>
      </x:c>
      <x:c r="G3" s="13" t="str">
        <x:v>Applicant</x:v>
      </x:c>
      <x:c r="H3" s="13" t="str">
        <x:v>Visa Prepare</x:v>
      </x:c>
      <x:c r="I3" s="13" t="str">
        <x:v>Theo kích thước từng quốc gia</x:v>
      </x:c>
      <x:c r="J3" s="13" t="str"/>
    </x:row>
    <x:row r="4">
      <x:c r="A4" s="13" t="str">
        <x:v>CHK-ST-0003</x:v>
      </x:c>
      <x:c r="B4" s="13" t="str">
        <x:v>KR-STUDY-LANG-D41</x:v>
      </x:c>
      <x:c r="C4" s="13" t="str">
        <x:v>Hàn Quốc</x:v>
      </x:c>
      <x:c r="D4" s="13" t="str">
        <x:v>ACADEMIC</x:v>
      </x:c>
      <x:c r="E4" s="13" t="str">
        <x:v>Bằng cấp/Bảng điểm gần nhất</x:v>
      </x:c>
      <x:c r="F4" s="13" t="str">
        <x:v>Bắt buộc</x:v>
      </x:c>
      <x:c r="G4" s="13" t="str">
        <x:v>Applicant</x:v>
      </x:c>
      <x:c r="H4" s="13" t="str">
        <x:v>Counselling</x:v>
      </x:c>
      <x:c r="I4" s="13" t="str">
        <x:v>Dịch thuật công chứng nếu cần</x:v>
      </x:c>
      <x:c r="J4" s="13" t="str"/>
    </x:row>
    <x:row r="5">
      <x:c r="A5" s="13" t="str">
        <x:v>CHK-ST-0004</x:v>
      </x:c>
      <x:c r="B5" s="13" t="str">
        <x:v>KR-STUDY-LANG-D41</x:v>
      </x:c>
      <x:c r="C5" s="13" t="str">
        <x:v>Hàn Quốc</x:v>
      </x:c>
      <x:c r="D5" s="13" t="str">
        <x:v>ACADEMIC</x:v>
      </x:c>
      <x:c r="E5" s="13" t="str">
        <x:v>Kế hoạch học tập/SOP/Study Plan</x:v>
      </x:c>
      <x:c r="F5" s="13" t="str">
        <x:v>Bắt buộc</x:v>
      </x:c>
      <x:c r="G5" s="13" t="str">
        <x:v>Applicant</x:v>
      </x:c>
      <x:c r="H5" s="13" t="str">
        <x:v>Visa Prepare</x:v>
      </x:c>
      <x:c r="I5" s="13" t="str">
        <x:v>Theo quốc gia: GS/GTE/Study Plan/SOP</x:v>
      </x:c>
      <x:c r="J5" s="13" t="str">
        <x:v>SOP Template</x:v>
      </x:c>
    </x:row>
    <x:row r="6">
      <x:c r="A6" s="13" t="str">
        <x:v>CHK-ST-0005</x:v>
      </x:c>
      <x:c r="B6" s="13" t="str">
        <x:v>KR-STUDY-LANG-D41</x:v>
      </x:c>
      <x:c r="C6" s="13" t="str">
        <x:v>Hàn Quốc</x:v>
      </x:c>
      <x:c r="D6" s="13" t="str">
        <x:v>ADMISSION</x:v>
      </x:c>
      <x:c r="E6" s="13" t="str">
        <x:v>Thư mời nhập học/LOA/COE/CAS/I-20</x:v>
      </x:c>
      <x:c r="F6" s="13" t="str">
        <x:v>Bắt buộc</x:v>
      </x:c>
      <x:c r="G6" s="13" t="str">
        <x:v>Applicant</x:v>
      </x:c>
      <x:c r="H6" s="13" t="str">
        <x:v>Offer/LOA</x:v>
      </x:c>
      <x:c r="I6" s="13" t="str">
        <x:v>Tên gọi thay đổi theo quốc gia</x:v>
      </x:c>
      <x:c r="J6" s="13" t="str"/>
    </x:row>
    <x:row r="7">
      <x:c r="A7" s="13" t="str">
        <x:v>CHK-ST-0006</x:v>
      </x:c>
      <x:c r="B7" s="13" t="str">
        <x:v>KR-STUDY-LANG-D41</x:v>
      </x:c>
      <x:c r="C7" s="13" t="str">
        <x:v>Hàn Quốc</x:v>
      </x:c>
      <x:c r="D7" s="13" t="str">
        <x:v>FINANCE</x:v>
      </x:c>
      <x:c r="E7" s="13" t="str">
        <x:v>Sổ tiết kiệm/Sao kê/GIC/Blocked Account</x:v>
      </x:c>
      <x:c r="F7" s="13" t="str">
        <x:v>Tùy diện</x:v>
      </x:c>
      <x:c r="G7" s="13" t="str">
        <x:v>Sponsor</x:v>
      </x:c>
      <x:c r="H7" s="13" t="str">
        <x:v>Visa Prepare</x:v>
      </x:c>
      <x:c r="I7" s="13" t="str">
        <x:v>Theo quy định từng nước và từng thời điểm</x:v>
      </x:c>
      <x:c r="J7" s="13" t="str"/>
    </x:row>
    <x:row r="8">
      <x:c r="A8" s="13" t="str">
        <x:v>CHK-ST-0007</x:v>
      </x:c>
      <x:c r="B8" s="13" t="str">
        <x:v>KR-STUDY-LANG-D41</x:v>
      </x:c>
      <x:c r="C8" s="13" t="str">
        <x:v>Hàn Quốc</x:v>
      </x:c>
      <x:c r="D8" s="13" t="str">
        <x:v>SPONSOR</x:v>
      </x:c>
      <x:c r="E8" s="13" t="str">
        <x:v>Giấy tờ người bảo lãnh tài chính</x:v>
      </x:c>
      <x:c r="F8" s="13" t="str">
        <x:v>Tùy diện</x:v>
      </x:c>
      <x:c r="G8" s="13" t="str">
        <x:v>Sponsor</x:v>
      </x:c>
      <x:c r="H8" s="13" t="str">
        <x:v>Visa Prepare</x:v>
      </x:c>
      <x:c r="I8" s="13" t="str">
        <x:v>HĐLĐ, ĐKKD, thuế, sao kê, tài sản</x:v>
      </x:c>
      <x:c r="J8" s="13" t="str"/>
    </x:row>
    <x:row r="9">
      <x:c r="A9" s="13" t="str">
        <x:v>CHK-ST-0008</x:v>
      </x:c>
      <x:c r="B9" s="13" t="str">
        <x:v>KR-STUDY-LANG-D41</x:v>
      </x:c>
      <x:c r="C9" s="13" t="str">
        <x:v>Hàn Quốc</x:v>
      </x:c>
      <x:c r="D9" s="13" t="str">
        <x:v>TRAVEL</x:v>
      </x:c>
      <x:c r="E9" s="13" t="str">
        <x:v>Bảo hiểm, booking, kế hoạch lưu trú</x:v>
      </x:c>
      <x:c r="F9" s="13" t="str">
        <x:v>Tùy diện</x:v>
      </x:c>
      <x:c r="G9" s="13" t="str">
        <x:v>Applicant</x:v>
      </x:c>
      <x:c r="H9" s="13" t="str">
        <x:v>Visa Prepare</x:v>
      </x:c>
      <x:c r="I9" s="13" t="str">
        <x:v>Đặc biệt với Schengen/Visitor study</x:v>
      </x:c>
      <x:c r="J9" s="13" t="str"/>
    </x:row>
    <x:row r="10">
      <x:c r="A10" s="13" t="str">
        <x:v>CHK-ST-0009</x:v>
      </x:c>
      <x:c r="B10" s="13" t="str">
        <x:v>KR-STUDY-LANG-D41</x:v>
      </x:c>
      <x:c r="C10" s="13" t="str">
        <x:v>Hàn Quốc</x:v>
      </x:c>
      <x:c r="D10" s="13" t="str">
        <x:v>MEDICAL</x:v>
      </x:c>
      <x:c r="E10" s="13" t="str">
        <x:v>Khám sức khỏe/Lao phổi/Chest X-ray</x:v>
      </x:c>
      <x:c r="F10" s="13" t="str">
        <x:v>Tùy diện</x:v>
      </x:c>
      <x:c r="G10" s="13" t="str">
        <x:v>Applicant</x:v>
      </x:c>
      <x:c r="H10" s="13" t="str">
        <x:v>Medical</x:v>
      </x:c>
      <x:c r="I10" s="13" t="str">
        <x:v>Canada/Úc/NZ/Hàn tùy trường hợp</x:v>
      </x:c>
      <x:c r="J10" s="13" t="str"/>
    </x:row>
    <x:row r="11">
      <x:c r="A11" s="13" t="str">
        <x:v>CHK-ST-0010</x:v>
      </x:c>
      <x:c r="B11" s="13" t="str">
        <x:v>KR-STUDY-LANG-D41</x:v>
      </x:c>
      <x:c r="C11" s="13" t="str">
        <x:v>Hàn Quốc</x:v>
      </x:c>
      <x:c r="D11" s="13" t="str">
        <x:v>BIOMETRIC</x:v>
      </x:c>
      <x:c r="E11" s="13" t="str">
        <x:v>Sinh trắc học/Phỏng vấn</x:v>
      </x:c>
      <x:c r="F11" s="13" t="str">
        <x:v>Tùy diện</x:v>
      </x:c>
      <x:c r="G11" s="13" t="str">
        <x:v>Applicant</x:v>
      </x:c>
      <x:c r="H11" s="13" t="str">
        <x:v>Biometrics/Interview</x:v>
      </x:c>
      <x:c r="I11" s="13" t="str">
        <x:v>VAC/VFS/LSQ theo từng nước</x:v>
      </x:c>
      <x:c r="J11" s="13" t="str"/>
    </x:row>
    <x:row r="12">
      <x:c r="A12" s="13" t="str">
        <x:v>CHK-ST-0011</x:v>
      </x:c>
      <x:c r="B12" s="13" t="str">
        <x:v>KR-STUDY-VET-D46</x:v>
      </x:c>
      <x:c r="C12" s="13" t="str">
        <x:v>Hàn Quốc</x:v>
      </x:c>
      <x:c r="D12" s="13" t="str">
        <x:v>PERSONAL</x:v>
      </x:c>
      <x:c r="E12" s="13" t="str">
        <x:v>Hộ chiếu còn hạn</x:v>
      </x:c>
      <x:c r="F12" s="13" t="str">
        <x:v>Bắt buộc</x:v>
      </x:c>
      <x:c r="G12" s="13" t="str">
        <x:v>Applicant</x:v>
      </x:c>
      <x:c r="H12" s="13" t="str">
        <x:v>Intake</x:v>
      </x:c>
      <x:c r="I12" s="13" t="str">
        <x:v>Scan màu đủ trang thông tin và lịch sử visa</x:v>
      </x:c>
      <x:c r="J12" s="13" t="str"/>
    </x:row>
    <x:row r="13">
      <x:c r="A13" s="13" t="str">
        <x:v>CHK-ST-0012</x:v>
      </x:c>
      <x:c r="B13" s="13" t="str">
        <x:v>KR-STUDY-VET-D46</x:v>
      </x:c>
      <x:c r="C13" s="13" t="str">
        <x:v>Hàn Quốc</x:v>
      </x:c>
      <x:c r="D13" s="13" t="str">
        <x:v>PERSONAL</x:v>
      </x:c>
      <x:c r="E13" s="13" t="str">
        <x:v>Ảnh thẻ đúng chuẩn lãnh sự</x:v>
      </x:c>
      <x:c r="F13" s="13" t="str">
        <x:v>Bắt buộc</x:v>
      </x:c>
      <x:c r="G13" s="13" t="str">
        <x:v>Applicant</x:v>
      </x:c>
      <x:c r="H13" s="13" t="str">
        <x:v>Visa Prepare</x:v>
      </x:c>
      <x:c r="I13" s="13" t="str">
        <x:v>Theo kích thước từng quốc gia</x:v>
      </x:c>
      <x:c r="J13" s="13" t="str"/>
    </x:row>
    <x:row r="14">
      <x:c r="A14" s="13" t="str">
        <x:v>CHK-ST-0013</x:v>
      </x:c>
      <x:c r="B14" s="13" t="str">
        <x:v>KR-STUDY-VET-D46</x:v>
      </x:c>
      <x:c r="C14" s="13" t="str">
        <x:v>Hàn Quốc</x:v>
      </x:c>
      <x:c r="D14" s="13" t="str">
        <x:v>ACADEMIC</x:v>
      </x:c>
      <x:c r="E14" s="13" t="str">
        <x:v>Bằng cấp/Bảng điểm gần nhất</x:v>
      </x:c>
      <x:c r="F14" s="13" t="str">
        <x:v>Bắt buộc</x:v>
      </x:c>
      <x:c r="G14" s="13" t="str">
        <x:v>Applicant</x:v>
      </x:c>
      <x:c r="H14" s="13" t="str">
        <x:v>Counselling</x:v>
      </x:c>
      <x:c r="I14" s="13" t="str">
        <x:v>Dịch thuật công chứng nếu cần</x:v>
      </x:c>
      <x:c r="J14" s="13" t="str"/>
    </x:row>
    <x:row r="15">
      <x:c r="A15" s="13" t="str">
        <x:v>CHK-ST-0014</x:v>
      </x:c>
      <x:c r="B15" s="13" t="str">
        <x:v>KR-STUDY-VET-D46</x:v>
      </x:c>
      <x:c r="C15" s="13" t="str">
        <x:v>Hàn Quốc</x:v>
      </x:c>
      <x:c r="D15" s="13" t="str">
        <x:v>ACADEMIC</x:v>
      </x:c>
      <x:c r="E15" s="13" t="str">
        <x:v>Kế hoạch học tập/SOP/Study Plan</x:v>
      </x:c>
      <x:c r="F15" s="13" t="str">
        <x:v>Bắt buộc</x:v>
      </x:c>
      <x:c r="G15" s="13" t="str">
        <x:v>Applicant</x:v>
      </x:c>
      <x:c r="H15" s="13" t="str">
        <x:v>Visa Prepare</x:v>
      </x:c>
      <x:c r="I15" s="13" t="str">
        <x:v>Theo quốc gia: GS/GTE/Study Plan/SOP</x:v>
      </x:c>
      <x:c r="J15" s="13" t="str">
        <x:v>SOP Template</x:v>
      </x:c>
    </x:row>
    <x:row r="16">
      <x:c r="A16" s="13" t="str">
        <x:v>CHK-ST-0015</x:v>
      </x:c>
      <x:c r="B16" s="13" t="str">
        <x:v>KR-STUDY-VET-D46</x:v>
      </x:c>
      <x:c r="C16" s="13" t="str">
        <x:v>Hàn Quốc</x:v>
      </x:c>
      <x:c r="D16" s="13" t="str">
        <x:v>ADMISSION</x:v>
      </x:c>
      <x:c r="E16" s="13" t="str">
        <x:v>Thư mời nhập học/LOA/COE/CAS/I-20</x:v>
      </x:c>
      <x:c r="F16" s="13" t="str">
        <x:v>Bắt buộc</x:v>
      </x:c>
      <x:c r="G16" s="13" t="str">
        <x:v>Applicant</x:v>
      </x:c>
      <x:c r="H16" s="13" t="str">
        <x:v>Offer/LOA</x:v>
      </x:c>
      <x:c r="I16" s="13" t="str">
        <x:v>Tên gọi thay đổi theo quốc gia</x:v>
      </x:c>
      <x:c r="J16" s="13" t="str"/>
    </x:row>
    <x:row r="17">
      <x:c r="A17" s="13" t="str">
        <x:v>CHK-ST-0016</x:v>
      </x:c>
      <x:c r="B17" s="13" t="str">
        <x:v>KR-STUDY-VET-D46</x:v>
      </x:c>
      <x:c r="C17" s="13" t="str">
        <x:v>Hàn Quốc</x:v>
      </x:c>
      <x:c r="D17" s="13" t="str">
        <x:v>FINANCE</x:v>
      </x:c>
      <x:c r="E17" s="13" t="str">
        <x:v>Sổ tiết kiệm/Sao kê/GIC/Blocked Account</x:v>
      </x:c>
      <x:c r="F17" s="13" t="str">
        <x:v>Tùy diện</x:v>
      </x:c>
      <x:c r="G17" s="13" t="str">
        <x:v>Sponsor</x:v>
      </x:c>
      <x:c r="H17" s="13" t="str">
        <x:v>Visa Prepare</x:v>
      </x:c>
      <x:c r="I17" s="13" t="str">
        <x:v>Theo quy định từng nước và từng thời điểm</x:v>
      </x:c>
      <x:c r="J17" s="13" t="str"/>
    </x:row>
    <x:row r="18">
      <x:c r="A18" s="13" t="str">
        <x:v>CHK-ST-0017</x:v>
      </x:c>
      <x:c r="B18" s="13" t="str">
        <x:v>KR-STUDY-VET-D46</x:v>
      </x:c>
      <x:c r="C18" s="13" t="str">
        <x:v>Hàn Quốc</x:v>
      </x:c>
      <x:c r="D18" s="13" t="str">
        <x:v>SPONSOR</x:v>
      </x:c>
      <x:c r="E18" s="13" t="str">
        <x:v>Giấy tờ người bảo lãnh tài chính</x:v>
      </x:c>
      <x:c r="F18" s="13" t="str">
        <x:v>Tùy diện</x:v>
      </x:c>
      <x:c r="G18" s="13" t="str">
        <x:v>Sponsor</x:v>
      </x:c>
      <x:c r="H18" s="13" t="str">
        <x:v>Visa Prepare</x:v>
      </x:c>
      <x:c r="I18" s="13" t="str">
        <x:v>HĐLĐ, ĐKKD, thuế, sao kê, tài sản</x:v>
      </x:c>
      <x:c r="J18" s="13" t="str"/>
    </x:row>
    <x:row r="19">
      <x:c r="A19" s="13" t="str">
        <x:v>CHK-ST-0018</x:v>
      </x:c>
      <x:c r="B19" s="13" t="str">
        <x:v>KR-STUDY-VET-D46</x:v>
      </x:c>
      <x:c r="C19" s="13" t="str">
        <x:v>Hàn Quốc</x:v>
      </x:c>
      <x:c r="D19" s="13" t="str">
        <x:v>TRAVEL</x:v>
      </x:c>
      <x:c r="E19" s="13" t="str">
        <x:v>Bảo hiểm, booking, kế hoạch lưu trú</x:v>
      </x:c>
      <x:c r="F19" s="13" t="str">
        <x:v>Tùy diện</x:v>
      </x:c>
      <x:c r="G19" s="13" t="str">
        <x:v>Applicant</x:v>
      </x:c>
      <x:c r="H19" s="13" t="str">
        <x:v>Visa Prepare</x:v>
      </x:c>
      <x:c r="I19" s="13" t="str">
        <x:v>Đặc biệt với Schengen/Visitor study</x:v>
      </x:c>
      <x:c r="J19" s="13" t="str"/>
    </x:row>
    <x:row r="20">
      <x:c r="A20" s="13" t="str">
        <x:v>CHK-ST-0019</x:v>
      </x:c>
      <x:c r="B20" s="13" t="str">
        <x:v>KR-STUDY-VET-D46</x:v>
      </x:c>
      <x:c r="C20" s="13" t="str">
        <x:v>Hàn Quốc</x:v>
      </x:c>
      <x:c r="D20" s="13" t="str">
        <x:v>MEDICAL</x:v>
      </x:c>
      <x:c r="E20" s="13" t="str">
        <x:v>Khám sức khỏe/Lao phổi/Chest X-ray</x:v>
      </x:c>
      <x:c r="F20" s="13" t="str">
        <x:v>Tùy diện</x:v>
      </x:c>
      <x:c r="G20" s="13" t="str">
        <x:v>Applicant</x:v>
      </x:c>
      <x:c r="H20" s="13" t="str">
        <x:v>Medical</x:v>
      </x:c>
      <x:c r="I20" s="13" t="str">
        <x:v>Canada/Úc/NZ/Hàn tùy trường hợp</x:v>
      </x:c>
      <x:c r="J20" s="13" t="str"/>
    </x:row>
    <x:row r="21">
      <x:c r="A21" s="13" t="str">
        <x:v>CHK-ST-0020</x:v>
      </x:c>
      <x:c r="B21" s="13" t="str">
        <x:v>KR-STUDY-VET-D46</x:v>
      </x:c>
      <x:c r="C21" s="13" t="str">
        <x:v>Hàn Quốc</x:v>
      </x:c>
      <x:c r="D21" s="13" t="str">
        <x:v>BIOMETRIC</x:v>
      </x:c>
      <x:c r="E21" s="13" t="str">
        <x:v>Sinh trắc học/Phỏng vấn</x:v>
      </x:c>
      <x:c r="F21" s="13" t="str">
        <x:v>Tùy diện</x:v>
      </x:c>
      <x:c r="G21" s="13" t="str">
        <x:v>Applicant</x:v>
      </x:c>
      <x:c r="H21" s="13" t="str">
        <x:v>Biometrics/Interview</x:v>
      </x:c>
      <x:c r="I21" s="13" t="str">
        <x:v>VAC/VFS/LSQ theo từng nước</x:v>
      </x:c>
      <x:c r="J21" s="13" t="str"/>
    </x:row>
    <x:row r="22">
      <x:c r="A22" s="13" t="str">
        <x:v>CHK-ST-0021</x:v>
      </x:c>
      <x:c r="B22" s="13" t="str">
        <x:v>KR-STUDY-ASSOC-D21</x:v>
      </x:c>
      <x:c r="C22" s="13" t="str">
        <x:v>Hàn Quốc</x:v>
      </x:c>
      <x:c r="D22" s="13" t="str">
        <x:v>PERSONAL</x:v>
      </x:c>
      <x:c r="E22" s="13" t="str">
        <x:v>Hộ chiếu còn hạn</x:v>
      </x:c>
      <x:c r="F22" s="13" t="str">
        <x:v>Bắt buộc</x:v>
      </x:c>
      <x:c r="G22" s="13" t="str">
        <x:v>Applicant</x:v>
      </x:c>
      <x:c r="H22" s="13" t="str">
        <x:v>Intake</x:v>
      </x:c>
      <x:c r="I22" s="13" t="str">
        <x:v>Scan màu đủ trang thông tin và lịch sử visa</x:v>
      </x:c>
      <x:c r="J22" s="13" t="str"/>
    </x:row>
    <x:row r="23">
      <x:c r="A23" s="13" t="str">
        <x:v>CHK-ST-0022</x:v>
      </x:c>
      <x:c r="B23" s="13" t="str">
        <x:v>KR-STUDY-ASSOC-D21</x:v>
      </x:c>
      <x:c r="C23" s="13" t="str">
        <x:v>Hàn Quốc</x:v>
      </x:c>
      <x:c r="D23" s="13" t="str">
        <x:v>PERSONAL</x:v>
      </x:c>
      <x:c r="E23" s="13" t="str">
        <x:v>Ảnh thẻ đúng chuẩn lãnh sự</x:v>
      </x:c>
      <x:c r="F23" s="13" t="str">
        <x:v>Bắt buộc</x:v>
      </x:c>
      <x:c r="G23" s="13" t="str">
        <x:v>Applicant</x:v>
      </x:c>
      <x:c r="H23" s="13" t="str">
        <x:v>Visa Prepare</x:v>
      </x:c>
      <x:c r="I23" s="13" t="str">
        <x:v>Theo kích thước từng quốc gia</x:v>
      </x:c>
      <x:c r="J23" s="13" t="str"/>
    </x:row>
    <x:row r="24">
      <x:c r="A24" s="13" t="str">
        <x:v>CHK-ST-0023</x:v>
      </x:c>
      <x:c r="B24" s="13" t="str">
        <x:v>KR-STUDY-ASSOC-D21</x:v>
      </x:c>
      <x:c r="C24" s="13" t="str">
        <x:v>Hàn Quốc</x:v>
      </x:c>
      <x:c r="D24" s="13" t="str">
        <x:v>ACADEMIC</x:v>
      </x:c>
      <x:c r="E24" s="13" t="str">
        <x:v>Bằng cấp/Bảng điểm gần nhất</x:v>
      </x:c>
      <x:c r="F24" s="13" t="str">
        <x:v>Bắt buộc</x:v>
      </x:c>
      <x:c r="G24" s="13" t="str">
        <x:v>Applicant</x:v>
      </x:c>
      <x:c r="H24" s="13" t="str">
        <x:v>Counselling</x:v>
      </x:c>
      <x:c r="I24" s="13" t="str">
        <x:v>Dịch thuật công chứng nếu cần</x:v>
      </x:c>
      <x:c r="J24" s="13" t="str"/>
    </x:row>
    <x:row r="25">
      <x:c r="A25" s="13" t="str">
        <x:v>CHK-ST-0024</x:v>
      </x:c>
      <x:c r="B25" s="13" t="str">
        <x:v>KR-STUDY-ASSOC-D21</x:v>
      </x:c>
      <x:c r="C25" s="13" t="str">
        <x:v>Hàn Quốc</x:v>
      </x:c>
      <x:c r="D25" s="13" t="str">
        <x:v>ACADEMIC</x:v>
      </x:c>
      <x:c r="E25" s="13" t="str">
        <x:v>Kế hoạch học tập/SOP/Study Plan</x:v>
      </x:c>
      <x:c r="F25" s="13" t="str">
        <x:v>Bắt buộc</x:v>
      </x:c>
      <x:c r="G25" s="13" t="str">
        <x:v>Applicant</x:v>
      </x:c>
      <x:c r="H25" s="13" t="str">
        <x:v>Visa Prepare</x:v>
      </x:c>
      <x:c r="I25" s="13" t="str">
        <x:v>Theo quốc gia: GS/GTE/Study Plan/SOP</x:v>
      </x:c>
      <x:c r="J25" s="13" t="str">
        <x:v>SOP Template</x:v>
      </x:c>
    </x:row>
    <x:row r="26">
      <x:c r="A26" s="13" t="str">
        <x:v>CHK-ST-0025</x:v>
      </x:c>
      <x:c r="B26" s="13" t="str">
        <x:v>KR-STUDY-ASSOC-D21</x:v>
      </x:c>
      <x:c r="C26" s="13" t="str">
        <x:v>Hàn Quốc</x:v>
      </x:c>
      <x:c r="D26" s="13" t="str">
        <x:v>ADMISSION</x:v>
      </x:c>
      <x:c r="E26" s="13" t="str">
        <x:v>Thư mời nhập học/LOA/COE/CAS/I-20</x:v>
      </x:c>
      <x:c r="F26" s="13" t="str">
        <x:v>Bắt buộc</x:v>
      </x:c>
      <x:c r="G26" s="13" t="str">
        <x:v>Applicant</x:v>
      </x:c>
      <x:c r="H26" s="13" t="str">
        <x:v>Offer/LOA</x:v>
      </x:c>
      <x:c r="I26" s="13" t="str">
        <x:v>Tên gọi thay đổi theo quốc gia</x:v>
      </x:c>
      <x:c r="J26" s="13" t="str"/>
    </x:row>
    <x:row r="27">
      <x:c r="A27" s="13" t="str">
        <x:v>CHK-ST-0026</x:v>
      </x:c>
      <x:c r="B27" s="13" t="str">
        <x:v>KR-STUDY-ASSOC-D21</x:v>
      </x:c>
      <x:c r="C27" s="13" t="str">
        <x:v>Hàn Quốc</x:v>
      </x:c>
      <x:c r="D27" s="13" t="str">
        <x:v>FINANCE</x:v>
      </x:c>
      <x:c r="E27" s="13" t="str">
        <x:v>Sổ tiết kiệm/Sao kê/GIC/Blocked Account</x:v>
      </x:c>
      <x:c r="F27" s="13" t="str">
        <x:v>Tùy diện</x:v>
      </x:c>
      <x:c r="G27" s="13" t="str">
        <x:v>Sponsor</x:v>
      </x:c>
      <x:c r="H27" s="13" t="str">
        <x:v>Visa Prepare</x:v>
      </x:c>
      <x:c r="I27" s="13" t="str">
        <x:v>Theo quy định từng nước và từng thời điểm</x:v>
      </x:c>
      <x:c r="J27" s="13" t="str"/>
    </x:row>
    <x:row r="28">
      <x:c r="A28" s="13" t="str">
        <x:v>CHK-ST-0027</x:v>
      </x:c>
      <x:c r="B28" s="13" t="str">
        <x:v>KR-STUDY-ASSOC-D21</x:v>
      </x:c>
      <x:c r="C28" s="13" t="str">
        <x:v>Hàn Quốc</x:v>
      </x:c>
      <x:c r="D28" s="13" t="str">
        <x:v>SPONSOR</x:v>
      </x:c>
      <x:c r="E28" s="13" t="str">
        <x:v>Giấy tờ người bảo lãnh tài chính</x:v>
      </x:c>
      <x:c r="F28" s="13" t="str">
        <x:v>Tùy diện</x:v>
      </x:c>
      <x:c r="G28" s="13" t="str">
        <x:v>Sponsor</x:v>
      </x:c>
      <x:c r="H28" s="13" t="str">
        <x:v>Visa Prepare</x:v>
      </x:c>
      <x:c r="I28" s="13" t="str">
        <x:v>HĐLĐ, ĐKKD, thuế, sao kê, tài sản</x:v>
      </x:c>
      <x:c r="J28" s="13" t="str"/>
    </x:row>
    <x:row r="29">
      <x:c r="A29" s="13" t="str">
        <x:v>CHK-ST-0028</x:v>
      </x:c>
      <x:c r="B29" s="13" t="str">
        <x:v>KR-STUDY-ASSOC-D21</x:v>
      </x:c>
      <x:c r="C29" s="13" t="str">
        <x:v>Hàn Quốc</x:v>
      </x:c>
      <x:c r="D29" s="13" t="str">
        <x:v>TRAVEL</x:v>
      </x:c>
      <x:c r="E29" s="13" t="str">
        <x:v>Bảo hiểm, booking, kế hoạch lưu trú</x:v>
      </x:c>
      <x:c r="F29" s="13" t="str">
        <x:v>Tùy diện</x:v>
      </x:c>
      <x:c r="G29" s="13" t="str">
        <x:v>Applicant</x:v>
      </x:c>
      <x:c r="H29" s="13" t="str">
        <x:v>Visa Prepare</x:v>
      </x:c>
      <x:c r="I29" s="13" t="str">
        <x:v>Đặc biệt với Schengen/Visitor study</x:v>
      </x:c>
      <x:c r="J29" s="13" t="str"/>
    </x:row>
    <x:row r="30">
      <x:c r="A30" s="13" t="str">
        <x:v>CHK-ST-0029</x:v>
      </x:c>
      <x:c r="B30" s="13" t="str">
        <x:v>KR-STUDY-ASSOC-D21</x:v>
      </x:c>
      <x:c r="C30" s="13" t="str">
        <x:v>Hàn Quốc</x:v>
      </x:c>
      <x:c r="D30" s="13" t="str">
        <x:v>MEDICAL</x:v>
      </x:c>
      <x:c r="E30" s="13" t="str">
        <x:v>Khám sức khỏe/Lao phổi/Chest X-ray</x:v>
      </x:c>
      <x:c r="F30" s="13" t="str">
        <x:v>Tùy diện</x:v>
      </x:c>
      <x:c r="G30" s="13" t="str">
        <x:v>Applicant</x:v>
      </x:c>
      <x:c r="H30" s="13" t="str">
        <x:v>Medical</x:v>
      </x:c>
      <x:c r="I30" s="13" t="str">
        <x:v>Canada/Úc/NZ/Hàn tùy trường hợp</x:v>
      </x:c>
      <x:c r="J30" s="13" t="str"/>
    </x:row>
    <x:row r="31">
      <x:c r="A31" s="13" t="str">
        <x:v>CHK-ST-0030</x:v>
      </x:c>
      <x:c r="B31" s="13" t="str">
        <x:v>KR-STUDY-ASSOC-D21</x:v>
      </x:c>
      <x:c r="C31" s="13" t="str">
        <x:v>Hàn Quốc</x:v>
      </x:c>
      <x:c r="D31" s="13" t="str">
        <x:v>BIOMETRIC</x:v>
      </x:c>
      <x:c r="E31" s="13" t="str">
        <x:v>Sinh trắc học/Phỏng vấn</x:v>
      </x:c>
      <x:c r="F31" s="13" t="str">
        <x:v>Tùy diện</x:v>
      </x:c>
      <x:c r="G31" s="13" t="str">
        <x:v>Applicant</x:v>
      </x:c>
      <x:c r="H31" s="13" t="str">
        <x:v>Biometrics/Interview</x:v>
      </x:c>
      <x:c r="I31" s="13" t="str">
        <x:v>VAC/VFS/LSQ theo từng nước</x:v>
      </x:c>
      <x:c r="J31" s="13" t="str"/>
    </x:row>
    <x:row r="32">
      <x:c r="A32" s="13" t="str">
        <x:v>CHK-ST-0031</x:v>
      </x:c>
      <x:c r="B32" s="13" t="str">
        <x:v>KR-STUDY-UNI-D22</x:v>
      </x:c>
      <x:c r="C32" s="13" t="str">
        <x:v>Hàn Quốc</x:v>
      </x:c>
      <x:c r="D32" s="13" t="str">
        <x:v>PERSONAL</x:v>
      </x:c>
      <x:c r="E32" s="13" t="str">
        <x:v>Hộ chiếu còn hạn</x:v>
      </x:c>
      <x:c r="F32" s="13" t="str">
        <x:v>Bắt buộc</x:v>
      </x:c>
      <x:c r="G32" s="13" t="str">
        <x:v>Applicant</x:v>
      </x:c>
      <x:c r="H32" s="13" t="str">
        <x:v>Intake</x:v>
      </x:c>
      <x:c r="I32" s="13" t="str">
        <x:v>Scan màu đủ trang thông tin và lịch sử visa</x:v>
      </x:c>
      <x:c r="J32" s="13" t="str"/>
    </x:row>
    <x:row r="33">
      <x:c r="A33" s="13" t="str">
        <x:v>CHK-ST-0032</x:v>
      </x:c>
      <x:c r="B33" s="13" t="str">
        <x:v>KR-STUDY-UNI-D22</x:v>
      </x:c>
      <x:c r="C33" s="13" t="str">
        <x:v>Hàn Quốc</x:v>
      </x:c>
      <x:c r="D33" s="13" t="str">
        <x:v>PERSONAL</x:v>
      </x:c>
      <x:c r="E33" s="13" t="str">
        <x:v>Ảnh thẻ đúng chuẩn lãnh sự</x:v>
      </x:c>
      <x:c r="F33" s="13" t="str">
        <x:v>Bắt buộc</x:v>
      </x:c>
      <x:c r="G33" s="13" t="str">
        <x:v>Applicant</x:v>
      </x:c>
      <x:c r="H33" s="13" t="str">
        <x:v>Visa Prepare</x:v>
      </x:c>
      <x:c r="I33" s="13" t="str">
        <x:v>Theo kích thước từng quốc gia</x:v>
      </x:c>
      <x:c r="J33" s="13" t="str"/>
    </x:row>
    <x:row r="34">
      <x:c r="A34" s="13" t="str">
        <x:v>CHK-ST-0033</x:v>
      </x:c>
      <x:c r="B34" s="13" t="str">
        <x:v>KR-STUDY-UNI-D22</x:v>
      </x:c>
      <x:c r="C34" s="13" t="str">
        <x:v>Hàn Quốc</x:v>
      </x:c>
      <x:c r="D34" s="13" t="str">
        <x:v>ACADEMIC</x:v>
      </x:c>
      <x:c r="E34" s="13" t="str">
        <x:v>Bằng cấp/Bảng điểm gần nhất</x:v>
      </x:c>
      <x:c r="F34" s="13" t="str">
        <x:v>Bắt buộc</x:v>
      </x:c>
      <x:c r="G34" s="13" t="str">
        <x:v>Applicant</x:v>
      </x:c>
      <x:c r="H34" s="13" t="str">
        <x:v>Counselling</x:v>
      </x:c>
      <x:c r="I34" s="13" t="str">
        <x:v>Dịch thuật công chứng nếu cần</x:v>
      </x:c>
      <x:c r="J34" s="13" t="str"/>
    </x:row>
    <x:row r="35">
      <x:c r="A35" s="13" t="str">
        <x:v>CHK-ST-0034</x:v>
      </x:c>
      <x:c r="B35" s="13" t="str">
        <x:v>KR-STUDY-UNI-D22</x:v>
      </x:c>
      <x:c r="C35" s="13" t="str">
        <x:v>Hàn Quốc</x:v>
      </x:c>
      <x:c r="D35" s="13" t="str">
        <x:v>ACADEMIC</x:v>
      </x:c>
      <x:c r="E35" s="13" t="str">
        <x:v>Kế hoạch học tập/SOP/Study Plan</x:v>
      </x:c>
      <x:c r="F35" s="13" t="str">
        <x:v>Bắt buộc</x:v>
      </x:c>
      <x:c r="G35" s="13" t="str">
        <x:v>Applicant</x:v>
      </x:c>
      <x:c r="H35" s="13" t="str">
        <x:v>Visa Prepare</x:v>
      </x:c>
      <x:c r="I35" s="13" t="str">
        <x:v>Theo quốc gia: GS/GTE/Study Plan/SOP</x:v>
      </x:c>
      <x:c r="J35" s="13" t="str">
        <x:v>SOP Template</x:v>
      </x:c>
    </x:row>
    <x:row r="36">
      <x:c r="A36" s="13" t="str">
        <x:v>CHK-ST-0035</x:v>
      </x:c>
      <x:c r="B36" s="13" t="str">
        <x:v>KR-STUDY-UNI-D22</x:v>
      </x:c>
      <x:c r="C36" s="13" t="str">
        <x:v>Hàn Quốc</x:v>
      </x:c>
      <x:c r="D36" s="13" t="str">
        <x:v>ADMISSION</x:v>
      </x:c>
      <x:c r="E36" s="13" t="str">
        <x:v>Thư mời nhập học/LOA/COE/CAS/I-20</x:v>
      </x:c>
      <x:c r="F36" s="13" t="str">
        <x:v>Bắt buộc</x:v>
      </x:c>
      <x:c r="G36" s="13" t="str">
        <x:v>Applicant</x:v>
      </x:c>
      <x:c r="H36" s="13" t="str">
        <x:v>Offer/LOA</x:v>
      </x:c>
      <x:c r="I36" s="13" t="str">
        <x:v>Tên gọi thay đổi theo quốc gia</x:v>
      </x:c>
      <x:c r="J36" s="13" t="str"/>
    </x:row>
    <x:row r="37">
      <x:c r="A37" s="13" t="str">
        <x:v>CHK-ST-0036</x:v>
      </x:c>
      <x:c r="B37" s="13" t="str">
        <x:v>KR-STUDY-UNI-D22</x:v>
      </x:c>
      <x:c r="C37" s="13" t="str">
        <x:v>Hàn Quốc</x:v>
      </x:c>
      <x:c r="D37" s="13" t="str">
        <x:v>FINANCE</x:v>
      </x:c>
      <x:c r="E37" s="13" t="str">
        <x:v>Sổ tiết kiệm/Sao kê/GIC/Blocked Account</x:v>
      </x:c>
      <x:c r="F37" s="13" t="str">
        <x:v>Tùy diện</x:v>
      </x:c>
      <x:c r="G37" s="13" t="str">
        <x:v>Sponsor</x:v>
      </x:c>
      <x:c r="H37" s="13" t="str">
        <x:v>Visa Prepare</x:v>
      </x:c>
      <x:c r="I37" s="13" t="str">
        <x:v>Theo quy định từng nước và từng thời điểm</x:v>
      </x:c>
      <x:c r="J37" s="13" t="str"/>
    </x:row>
    <x:row r="38">
      <x:c r="A38" s="13" t="str">
        <x:v>CHK-ST-0037</x:v>
      </x:c>
      <x:c r="B38" s="13" t="str">
        <x:v>KR-STUDY-UNI-D22</x:v>
      </x:c>
      <x:c r="C38" s="13" t="str">
        <x:v>Hàn Quốc</x:v>
      </x:c>
      <x:c r="D38" s="13" t="str">
        <x:v>SPONSOR</x:v>
      </x:c>
      <x:c r="E38" s="13" t="str">
        <x:v>Giấy tờ người bảo lãnh tài chính</x:v>
      </x:c>
      <x:c r="F38" s="13" t="str">
        <x:v>Tùy diện</x:v>
      </x:c>
      <x:c r="G38" s="13" t="str">
        <x:v>Sponsor</x:v>
      </x:c>
      <x:c r="H38" s="13" t="str">
        <x:v>Visa Prepare</x:v>
      </x:c>
      <x:c r="I38" s="13" t="str">
        <x:v>HĐLĐ, ĐKKD, thuế, sao kê, tài sản</x:v>
      </x:c>
      <x:c r="J38" s="13" t="str"/>
    </x:row>
    <x:row r="39">
      <x:c r="A39" s="13" t="str">
        <x:v>CHK-ST-0038</x:v>
      </x:c>
      <x:c r="B39" s="13" t="str">
        <x:v>KR-STUDY-UNI-D22</x:v>
      </x:c>
      <x:c r="C39" s="13" t="str">
        <x:v>Hàn Quốc</x:v>
      </x:c>
      <x:c r="D39" s="13" t="str">
        <x:v>TRAVEL</x:v>
      </x:c>
      <x:c r="E39" s="13" t="str">
        <x:v>Bảo hiểm, booking, kế hoạch lưu trú</x:v>
      </x:c>
      <x:c r="F39" s="13" t="str">
        <x:v>Tùy diện</x:v>
      </x:c>
      <x:c r="G39" s="13" t="str">
        <x:v>Applicant</x:v>
      </x:c>
      <x:c r="H39" s="13" t="str">
        <x:v>Visa Prepare</x:v>
      </x:c>
      <x:c r="I39" s="13" t="str">
        <x:v>Đặc biệt với Schengen/Visitor study</x:v>
      </x:c>
      <x:c r="J39" s="13" t="str"/>
    </x:row>
    <x:row r="40">
      <x:c r="A40" s="13" t="str">
        <x:v>CHK-ST-0039</x:v>
      </x:c>
      <x:c r="B40" s="13" t="str">
        <x:v>KR-STUDY-UNI-D22</x:v>
      </x:c>
      <x:c r="C40" s="13" t="str">
        <x:v>Hàn Quốc</x:v>
      </x:c>
      <x:c r="D40" s="13" t="str">
        <x:v>MEDICAL</x:v>
      </x:c>
      <x:c r="E40" s="13" t="str">
        <x:v>Khám sức khỏe/Lao phổi/Chest X-ray</x:v>
      </x:c>
      <x:c r="F40" s="13" t="str">
        <x:v>Tùy diện</x:v>
      </x:c>
      <x:c r="G40" s="13" t="str">
        <x:v>Applicant</x:v>
      </x:c>
      <x:c r="H40" s="13" t="str">
        <x:v>Medical</x:v>
      </x:c>
      <x:c r="I40" s="13" t="str">
        <x:v>Canada/Úc/NZ/Hàn tùy trường hợp</x:v>
      </x:c>
      <x:c r="J40" s="13" t="str"/>
    </x:row>
    <x:row r="41">
      <x:c r="A41" s="13" t="str">
        <x:v>CHK-ST-0040</x:v>
      </x:c>
      <x:c r="B41" s="13" t="str">
        <x:v>KR-STUDY-UNI-D22</x:v>
      </x:c>
      <x:c r="C41" s="13" t="str">
        <x:v>Hàn Quốc</x:v>
      </x:c>
      <x:c r="D41" s="13" t="str">
        <x:v>BIOMETRIC</x:v>
      </x:c>
      <x:c r="E41" s="13" t="str">
        <x:v>Sinh trắc học/Phỏng vấn</x:v>
      </x:c>
      <x:c r="F41" s="13" t="str">
        <x:v>Tùy diện</x:v>
      </x:c>
      <x:c r="G41" s="13" t="str">
        <x:v>Applicant</x:v>
      </x:c>
      <x:c r="H41" s="13" t="str">
        <x:v>Biometrics/Interview</x:v>
      </x:c>
      <x:c r="I41" s="13" t="str">
        <x:v>VAC/VFS/LSQ theo từng nước</x:v>
      </x:c>
      <x:c r="J41" s="13" t="str"/>
    </x:row>
    <x:row r="42">
      <x:c r="A42" s="13" t="str">
        <x:v>CHK-ST-0041</x:v>
      </x:c>
      <x:c r="B42" s="13" t="str">
        <x:v>KR-STUDY-POST-D23D24</x:v>
      </x:c>
      <x:c r="C42" s="13" t="str">
        <x:v>Hàn Quốc</x:v>
      </x:c>
      <x:c r="D42" s="13" t="str">
        <x:v>PERSONAL</x:v>
      </x:c>
      <x:c r="E42" s="13" t="str">
        <x:v>Hộ chiếu còn hạn</x:v>
      </x:c>
      <x:c r="F42" s="13" t="str">
        <x:v>Bắt buộc</x:v>
      </x:c>
      <x:c r="G42" s="13" t="str">
        <x:v>Applicant</x:v>
      </x:c>
      <x:c r="H42" s="13" t="str">
        <x:v>Intake</x:v>
      </x:c>
      <x:c r="I42" s="13" t="str">
        <x:v>Scan màu đủ trang thông tin và lịch sử visa</x:v>
      </x:c>
      <x:c r="J42" s="13" t="str"/>
    </x:row>
    <x:row r="43">
      <x:c r="A43" s="13" t="str">
        <x:v>CHK-ST-0042</x:v>
      </x:c>
      <x:c r="B43" s="13" t="str">
        <x:v>KR-STUDY-POST-D23D24</x:v>
      </x:c>
      <x:c r="C43" s="13" t="str">
        <x:v>Hàn Quốc</x:v>
      </x:c>
      <x:c r="D43" s="13" t="str">
        <x:v>PERSONAL</x:v>
      </x:c>
      <x:c r="E43" s="13" t="str">
        <x:v>Ảnh thẻ đúng chuẩn lãnh sự</x:v>
      </x:c>
      <x:c r="F43" s="13" t="str">
        <x:v>Bắt buộc</x:v>
      </x:c>
      <x:c r="G43" s="13" t="str">
        <x:v>Applicant</x:v>
      </x:c>
      <x:c r="H43" s="13" t="str">
        <x:v>Visa Prepare</x:v>
      </x:c>
      <x:c r="I43" s="13" t="str">
        <x:v>Theo kích thước từng quốc gia</x:v>
      </x:c>
      <x:c r="J43" s="13" t="str"/>
    </x:row>
    <x:row r="44">
      <x:c r="A44" s="13" t="str">
        <x:v>CHK-ST-0043</x:v>
      </x:c>
      <x:c r="B44" s="13" t="str">
        <x:v>KR-STUDY-POST-D23D24</x:v>
      </x:c>
      <x:c r="C44" s="13" t="str">
        <x:v>Hàn Quốc</x:v>
      </x:c>
      <x:c r="D44" s="13" t="str">
        <x:v>ACADEMIC</x:v>
      </x:c>
      <x:c r="E44" s="13" t="str">
        <x:v>Bằng cấp/Bảng điểm gần nhất</x:v>
      </x:c>
      <x:c r="F44" s="13" t="str">
        <x:v>Bắt buộc</x:v>
      </x:c>
      <x:c r="G44" s="13" t="str">
        <x:v>Applicant</x:v>
      </x:c>
      <x:c r="H44" s="13" t="str">
        <x:v>Counselling</x:v>
      </x:c>
      <x:c r="I44" s="13" t="str">
        <x:v>Dịch thuật công chứng nếu cần</x:v>
      </x:c>
      <x:c r="J44" s="13" t="str"/>
    </x:row>
    <x:row r="45">
      <x:c r="A45" s="13" t="str">
        <x:v>CHK-ST-0044</x:v>
      </x:c>
      <x:c r="B45" s="13" t="str">
        <x:v>KR-STUDY-POST-D23D24</x:v>
      </x:c>
      <x:c r="C45" s="13" t="str">
        <x:v>Hàn Quốc</x:v>
      </x:c>
      <x:c r="D45" s="13" t="str">
        <x:v>ACADEMIC</x:v>
      </x:c>
      <x:c r="E45" s="13" t="str">
        <x:v>Kế hoạch học tập/SOP/Study Plan</x:v>
      </x:c>
      <x:c r="F45" s="13" t="str">
        <x:v>Bắt buộc</x:v>
      </x:c>
      <x:c r="G45" s="13" t="str">
        <x:v>Applicant</x:v>
      </x:c>
      <x:c r="H45" s="13" t="str">
        <x:v>Visa Prepare</x:v>
      </x:c>
      <x:c r="I45" s="13" t="str">
        <x:v>Theo quốc gia: GS/GTE/Study Plan/SOP</x:v>
      </x:c>
      <x:c r="J45" s="13" t="str">
        <x:v>SOP Template</x:v>
      </x:c>
    </x:row>
    <x:row r="46">
      <x:c r="A46" s="13" t="str">
        <x:v>CHK-ST-0045</x:v>
      </x:c>
      <x:c r="B46" s="13" t="str">
        <x:v>KR-STUDY-POST-D23D24</x:v>
      </x:c>
      <x:c r="C46" s="13" t="str">
        <x:v>Hàn Quốc</x:v>
      </x:c>
      <x:c r="D46" s="13" t="str">
        <x:v>ADMISSION</x:v>
      </x:c>
      <x:c r="E46" s="13" t="str">
        <x:v>Thư mời nhập học/LOA/COE/CAS/I-20</x:v>
      </x:c>
      <x:c r="F46" s="13" t="str">
        <x:v>Bắt buộc</x:v>
      </x:c>
      <x:c r="G46" s="13" t="str">
        <x:v>Applicant</x:v>
      </x:c>
      <x:c r="H46" s="13" t="str">
        <x:v>Offer/LOA</x:v>
      </x:c>
      <x:c r="I46" s="13" t="str">
        <x:v>Tên gọi thay đổi theo quốc gia</x:v>
      </x:c>
      <x:c r="J46" s="13" t="str"/>
    </x:row>
    <x:row r="47">
      <x:c r="A47" s="13" t="str">
        <x:v>CHK-ST-0046</x:v>
      </x:c>
      <x:c r="B47" s="13" t="str">
        <x:v>KR-STUDY-POST-D23D24</x:v>
      </x:c>
      <x:c r="C47" s="13" t="str">
        <x:v>Hàn Quốc</x:v>
      </x:c>
      <x:c r="D47" s="13" t="str">
        <x:v>FINANCE</x:v>
      </x:c>
      <x:c r="E47" s="13" t="str">
        <x:v>Sổ tiết kiệm/Sao kê/GIC/Blocked Account</x:v>
      </x:c>
      <x:c r="F47" s="13" t="str">
        <x:v>Tùy diện</x:v>
      </x:c>
      <x:c r="G47" s="13" t="str">
        <x:v>Sponsor</x:v>
      </x:c>
      <x:c r="H47" s="13" t="str">
        <x:v>Visa Prepare</x:v>
      </x:c>
      <x:c r="I47" s="13" t="str">
        <x:v>Theo quy định từng nước và từng thời điểm</x:v>
      </x:c>
      <x:c r="J47" s="13" t="str"/>
    </x:row>
    <x:row r="48">
      <x:c r="A48" s="13" t="str">
        <x:v>CHK-ST-0047</x:v>
      </x:c>
      <x:c r="B48" s="13" t="str">
        <x:v>KR-STUDY-POST-D23D24</x:v>
      </x:c>
      <x:c r="C48" s="13" t="str">
        <x:v>Hàn Quốc</x:v>
      </x:c>
      <x:c r="D48" s="13" t="str">
        <x:v>SPONSOR</x:v>
      </x:c>
      <x:c r="E48" s="13" t="str">
        <x:v>Giấy tờ người bảo lãnh tài chính</x:v>
      </x:c>
      <x:c r="F48" s="13" t="str">
        <x:v>Tùy diện</x:v>
      </x:c>
      <x:c r="G48" s="13" t="str">
        <x:v>Sponsor</x:v>
      </x:c>
      <x:c r="H48" s="13" t="str">
        <x:v>Visa Prepare</x:v>
      </x:c>
      <x:c r="I48" s="13" t="str">
        <x:v>HĐLĐ, ĐKKD, thuế, sao kê, tài sản</x:v>
      </x:c>
      <x:c r="J48" s="13" t="str"/>
    </x:row>
    <x:row r="49">
      <x:c r="A49" s="13" t="str">
        <x:v>CHK-ST-0048</x:v>
      </x:c>
      <x:c r="B49" s="13" t="str">
        <x:v>KR-STUDY-POST-D23D24</x:v>
      </x:c>
      <x:c r="C49" s="13" t="str">
        <x:v>Hàn Quốc</x:v>
      </x:c>
      <x:c r="D49" s="13" t="str">
        <x:v>TRAVEL</x:v>
      </x:c>
      <x:c r="E49" s="13" t="str">
        <x:v>Bảo hiểm, booking, kế hoạch lưu trú</x:v>
      </x:c>
      <x:c r="F49" s="13" t="str">
        <x:v>Tùy diện</x:v>
      </x:c>
      <x:c r="G49" s="13" t="str">
        <x:v>Applicant</x:v>
      </x:c>
      <x:c r="H49" s="13" t="str">
        <x:v>Visa Prepare</x:v>
      </x:c>
      <x:c r="I49" s="13" t="str">
        <x:v>Đặc biệt với Schengen/Visitor study</x:v>
      </x:c>
      <x:c r="J49" s="13" t="str"/>
    </x:row>
    <x:row r="50">
      <x:c r="A50" s="13" t="str">
        <x:v>CHK-ST-0049</x:v>
      </x:c>
      <x:c r="B50" s="13" t="str">
        <x:v>KR-STUDY-POST-D23D24</x:v>
      </x:c>
      <x:c r="C50" s="13" t="str">
        <x:v>Hàn Quốc</x:v>
      </x:c>
      <x:c r="D50" s="13" t="str">
        <x:v>MEDICAL</x:v>
      </x:c>
      <x:c r="E50" s="13" t="str">
        <x:v>Khám sức khỏe/Lao phổi/Chest X-ray</x:v>
      </x:c>
      <x:c r="F50" s="13" t="str">
        <x:v>Tùy diện</x:v>
      </x:c>
      <x:c r="G50" s="13" t="str">
        <x:v>Applicant</x:v>
      </x:c>
      <x:c r="H50" s="13" t="str">
        <x:v>Medical</x:v>
      </x:c>
      <x:c r="I50" s="13" t="str">
        <x:v>Canada/Úc/NZ/Hàn tùy trường hợp</x:v>
      </x:c>
      <x:c r="J50" s="13" t="str"/>
    </x:row>
    <x:row r="51">
      <x:c r="A51" s="13" t="str">
        <x:v>CHK-ST-0050</x:v>
      </x:c>
      <x:c r="B51" s="13" t="str">
        <x:v>KR-STUDY-POST-D23D24</x:v>
      </x:c>
      <x:c r="C51" s="13" t="str">
        <x:v>Hàn Quốc</x:v>
      </x:c>
      <x:c r="D51" s="13" t="str">
        <x:v>BIOMETRIC</x:v>
      </x:c>
      <x:c r="E51" s="13" t="str">
        <x:v>Sinh trắc học/Phỏng vấn</x:v>
      </x:c>
      <x:c r="F51" s="13" t="str">
        <x:v>Tùy diện</x:v>
      </x:c>
      <x:c r="G51" s="13" t="str">
        <x:v>Applicant</x:v>
      </x:c>
      <x:c r="H51" s="13" t="str">
        <x:v>Biometrics/Interview</x:v>
      </x:c>
      <x:c r="I51" s="13" t="str">
        <x:v>VAC/VFS/LSQ theo từng nước</x:v>
      </x:c>
      <x:c r="J51" s="13" t="str"/>
    </x:row>
    <x:row r="52">
      <x:c r="A52" s="13" t="str">
        <x:v>CHK-ST-0051</x:v>
      </x:c>
      <x:c r="B52" s="13" t="str">
        <x:v>KR-STUDY-EXCH-D26</x:v>
      </x:c>
      <x:c r="C52" s="13" t="str">
        <x:v>Hàn Quốc</x:v>
      </x:c>
      <x:c r="D52" s="13" t="str">
        <x:v>PERSONAL</x:v>
      </x:c>
      <x:c r="E52" s="13" t="str">
        <x:v>Hộ chiếu còn hạn</x:v>
      </x:c>
      <x:c r="F52" s="13" t="str">
        <x:v>Bắt buộc</x:v>
      </x:c>
      <x:c r="G52" s="13" t="str">
        <x:v>Applicant</x:v>
      </x:c>
      <x:c r="H52" s="13" t="str">
        <x:v>Intake</x:v>
      </x:c>
      <x:c r="I52" s="13" t="str">
        <x:v>Scan màu đủ trang thông tin và lịch sử visa</x:v>
      </x:c>
      <x:c r="J52" s="13" t="str"/>
    </x:row>
    <x:row r="53">
      <x:c r="A53" s="13" t="str">
        <x:v>CHK-ST-0052</x:v>
      </x:c>
      <x:c r="B53" s="13" t="str">
        <x:v>KR-STUDY-EXCH-D26</x:v>
      </x:c>
      <x:c r="C53" s="13" t="str">
        <x:v>Hàn Quốc</x:v>
      </x:c>
      <x:c r="D53" s="13" t="str">
        <x:v>PERSONAL</x:v>
      </x:c>
      <x:c r="E53" s="13" t="str">
        <x:v>Ảnh thẻ đúng chuẩn lãnh sự</x:v>
      </x:c>
      <x:c r="F53" s="13" t="str">
        <x:v>Bắt buộc</x:v>
      </x:c>
      <x:c r="G53" s="13" t="str">
        <x:v>Applicant</x:v>
      </x:c>
      <x:c r="H53" s="13" t="str">
        <x:v>Visa Prepare</x:v>
      </x:c>
      <x:c r="I53" s="13" t="str">
        <x:v>Theo kích thước từng quốc gia</x:v>
      </x:c>
      <x:c r="J53" s="13" t="str"/>
    </x:row>
    <x:row r="54">
      <x:c r="A54" s="13" t="str">
        <x:v>CHK-ST-0053</x:v>
      </x:c>
      <x:c r="B54" s="13" t="str">
        <x:v>KR-STUDY-EXCH-D26</x:v>
      </x:c>
      <x:c r="C54" s="13" t="str">
        <x:v>Hàn Quốc</x:v>
      </x:c>
      <x:c r="D54" s="13" t="str">
        <x:v>ACADEMIC</x:v>
      </x:c>
      <x:c r="E54" s="13" t="str">
        <x:v>Bằng cấp/Bảng điểm gần nhất</x:v>
      </x:c>
      <x:c r="F54" s="13" t="str">
        <x:v>Bắt buộc</x:v>
      </x:c>
      <x:c r="G54" s="13" t="str">
        <x:v>Applicant</x:v>
      </x:c>
      <x:c r="H54" s="13" t="str">
        <x:v>Counselling</x:v>
      </x:c>
      <x:c r="I54" s="13" t="str">
        <x:v>Dịch thuật công chứng nếu cần</x:v>
      </x:c>
      <x:c r="J54" s="13" t="str"/>
    </x:row>
    <x:row r="55">
      <x:c r="A55" s="13" t="str">
        <x:v>CHK-ST-0054</x:v>
      </x:c>
      <x:c r="B55" s="13" t="str">
        <x:v>KR-STUDY-EXCH-D26</x:v>
      </x:c>
      <x:c r="C55" s="13" t="str">
        <x:v>Hàn Quốc</x:v>
      </x:c>
      <x:c r="D55" s="13" t="str">
        <x:v>ACADEMIC</x:v>
      </x:c>
      <x:c r="E55" s="13" t="str">
        <x:v>Kế hoạch học tập/SOP/Study Plan</x:v>
      </x:c>
      <x:c r="F55" s="13" t="str">
        <x:v>Bắt buộc</x:v>
      </x:c>
      <x:c r="G55" s="13" t="str">
        <x:v>Applicant</x:v>
      </x:c>
      <x:c r="H55" s="13" t="str">
        <x:v>Visa Prepare</x:v>
      </x:c>
      <x:c r="I55" s="13" t="str">
        <x:v>Theo quốc gia: GS/GTE/Study Plan/SOP</x:v>
      </x:c>
      <x:c r="J55" s="13" t="str">
        <x:v>SOP Template</x:v>
      </x:c>
    </x:row>
    <x:row r="56">
      <x:c r="A56" s="13" t="str">
        <x:v>CHK-ST-0055</x:v>
      </x:c>
      <x:c r="B56" s="13" t="str">
        <x:v>KR-STUDY-EXCH-D26</x:v>
      </x:c>
      <x:c r="C56" s="13" t="str">
        <x:v>Hàn Quốc</x:v>
      </x:c>
      <x:c r="D56" s="13" t="str">
        <x:v>ADMISSION</x:v>
      </x:c>
      <x:c r="E56" s="13" t="str">
        <x:v>Thư mời nhập học/LOA/COE/CAS/I-20</x:v>
      </x:c>
      <x:c r="F56" s="13" t="str">
        <x:v>Bắt buộc</x:v>
      </x:c>
      <x:c r="G56" s="13" t="str">
        <x:v>Applicant</x:v>
      </x:c>
      <x:c r="H56" s="13" t="str">
        <x:v>Offer/LOA</x:v>
      </x:c>
      <x:c r="I56" s="13" t="str">
        <x:v>Tên gọi thay đổi theo quốc gia</x:v>
      </x:c>
      <x:c r="J56" s="13" t="str"/>
    </x:row>
    <x:row r="57">
      <x:c r="A57" s="13" t="str">
        <x:v>CHK-ST-0056</x:v>
      </x:c>
      <x:c r="B57" s="13" t="str">
        <x:v>KR-STUDY-EXCH-D26</x:v>
      </x:c>
      <x:c r="C57" s="13" t="str">
        <x:v>Hàn Quốc</x:v>
      </x:c>
      <x:c r="D57" s="13" t="str">
        <x:v>FINANCE</x:v>
      </x:c>
      <x:c r="E57" s="13" t="str">
        <x:v>Sổ tiết kiệm/Sao kê/GIC/Blocked Account</x:v>
      </x:c>
      <x:c r="F57" s="13" t="str">
        <x:v>Tùy diện</x:v>
      </x:c>
      <x:c r="G57" s="13" t="str">
        <x:v>Sponsor</x:v>
      </x:c>
      <x:c r="H57" s="13" t="str">
        <x:v>Visa Prepare</x:v>
      </x:c>
      <x:c r="I57" s="13" t="str">
        <x:v>Theo quy định từng nước và từng thời điểm</x:v>
      </x:c>
      <x:c r="J57" s="13" t="str"/>
    </x:row>
    <x:row r="58">
      <x:c r="A58" s="13" t="str">
        <x:v>CHK-ST-0057</x:v>
      </x:c>
      <x:c r="B58" s="13" t="str">
        <x:v>KR-STUDY-EXCH-D26</x:v>
      </x:c>
      <x:c r="C58" s="13" t="str">
        <x:v>Hàn Quốc</x:v>
      </x:c>
      <x:c r="D58" s="13" t="str">
        <x:v>SPONSOR</x:v>
      </x:c>
      <x:c r="E58" s="13" t="str">
        <x:v>Giấy tờ người bảo lãnh tài chính</x:v>
      </x:c>
      <x:c r="F58" s="13" t="str">
        <x:v>Tùy diện</x:v>
      </x:c>
      <x:c r="G58" s="13" t="str">
        <x:v>Sponsor</x:v>
      </x:c>
      <x:c r="H58" s="13" t="str">
        <x:v>Visa Prepare</x:v>
      </x:c>
      <x:c r="I58" s="13" t="str">
        <x:v>HĐLĐ, ĐKKD, thuế, sao kê, tài sản</x:v>
      </x:c>
      <x:c r="J58" s="13" t="str"/>
    </x:row>
    <x:row r="59">
      <x:c r="A59" s="13" t="str">
        <x:v>CHK-ST-0058</x:v>
      </x:c>
      <x:c r="B59" s="13" t="str">
        <x:v>KR-STUDY-EXCH-D26</x:v>
      </x:c>
      <x:c r="C59" s="13" t="str">
        <x:v>Hàn Quốc</x:v>
      </x:c>
      <x:c r="D59" s="13" t="str">
        <x:v>TRAVEL</x:v>
      </x:c>
      <x:c r="E59" s="13" t="str">
        <x:v>Bảo hiểm, booking, kế hoạch lưu trú</x:v>
      </x:c>
      <x:c r="F59" s="13" t="str">
        <x:v>Tùy diện</x:v>
      </x:c>
      <x:c r="G59" s="13" t="str">
        <x:v>Applicant</x:v>
      </x:c>
      <x:c r="H59" s="13" t="str">
        <x:v>Visa Prepare</x:v>
      </x:c>
      <x:c r="I59" s="13" t="str">
        <x:v>Đặc biệt với Schengen/Visitor study</x:v>
      </x:c>
      <x:c r="J59" s="13" t="str"/>
    </x:row>
    <x:row r="60">
      <x:c r="A60" s="13" t="str">
        <x:v>CHK-ST-0059</x:v>
      </x:c>
      <x:c r="B60" s="13" t="str">
        <x:v>KR-STUDY-EXCH-D26</x:v>
      </x:c>
      <x:c r="C60" s="13" t="str">
        <x:v>Hàn Quốc</x:v>
      </x:c>
      <x:c r="D60" s="13" t="str">
        <x:v>MEDICAL</x:v>
      </x:c>
      <x:c r="E60" s="13" t="str">
        <x:v>Khám sức khỏe/Lao phổi/Chest X-ray</x:v>
      </x:c>
      <x:c r="F60" s="13" t="str">
        <x:v>Tùy diện</x:v>
      </x:c>
      <x:c r="G60" s="13" t="str">
        <x:v>Applicant</x:v>
      </x:c>
      <x:c r="H60" s="13" t="str">
        <x:v>Medical</x:v>
      </x:c>
      <x:c r="I60" s="13" t="str">
        <x:v>Canada/Úc/NZ/Hàn tùy trường hợp</x:v>
      </x:c>
      <x:c r="J60" s="13" t="str"/>
    </x:row>
    <x:row r="61">
      <x:c r="A61" s="13" t="str">
        <x:v>CHK-ST-0060</x:v>
      </x:c>
      <x:c r="B61" s="13" t="str">
        <x:v>KR-STUDY-EXCH-D26</x:v>
      </x:c>
      <x:c r="C61" s="13" t="str">
        <x:v>Hàn Quốc</x:v>
      </x:c>
      <x:c r="D61" s="13" t="str">
        <x:v>BIOMETRIC</x:v>
      </x:c>
      <x:c r="E61" s="13" t="str">
        <x:v>Sinh trắc học/Phỏng vấn</x:v>
      </x:c>
      <x:c r="F61" s="13" t="str">
        <x:v>Tùy diện</x:v>
      </x:c>
      <x:c r="G61" s="13" t="str">
        <x:v>Applicant</x:v>
      </x:c>
      <x:c r="H61" s="13" t="str">
        <x:v>Biometrics/Interview</x:v>
      </x:c>
      <x:c r="I61" s="13" t="str">
        <x:v>VAC/VFS/LSQ theo từng nước</x:v>
      </x:c>
      <x:c r="J61" s="13" t="str"/>
    </x:row>
    <x:row r="62">
      <x:c r="A62" s="13" t="str">
        <x:v>CHK-ST-0061</x:v>
      </x:c>
      <x:c r="B62" s="13" t="str">
        <x:v>JP-STUDY-STUDENT-COE</x:v>
      </x:c>
      <x:c r="C62" s="13" t="str">
        <x:v>Nhật Bản</x:v>
      </x:c>
      <x:c r="D62" s="13" t="str">
        <x:v>PERSONAL</x:v>
      </x:c>
      <x:c r="E62" s="13" t="str">
        <x:v>Hộ chiếu còn hạn</x:v>
      </x:c>
      <x:c r="F62" s="13" t="str">
        <x:v>Bắt buộc</x:v>
      </x:c>
      <x:c r="G62" s="13" t="str">
        <x:v>Applicant</x:v>
      </x:c>
      <x:c r="H62" s="13" t="str">
        <x:v>Intake</x:v>
      </x:c>
      <x:c r="I62" s="13" t="str">
        <x:v>Scan màu đủ trang thông tin và lịch sử visa</x:v>
      </x:c>
      <x:c r="J62" s="13" t="str"/>
    </x:row>
    <x:row r="63">
      <x:c r="A63" s="13" t="str">
        <x:v>CHK-ST-0062</x:v>
      </x:c>
      <x:c r="B63" s="13" t="str">
        <x:v>JP-STUDY-STUDENT-COE</x:v>
      </x:c>
      <x:c r="C63" s="13" t="str">
        <x:v>Nhật Bản</x:v>
      </x:c>
      <x:c r="D63" s="13" t="str">
        <x:v>PERSONAL</x:v>
      </x:c>
      <x:c r="E63" s="13" t="str">
        <x:v>Ảnh thẻ đúng chuẩn lãnh sự</x:v>
      </x:c>
      <x:c r="F63" s="13" t="str">
        <x:v>Bắt buộc</x:v>
      </x:c>
      <x:c r="G63" s="13" t="str">
        <x:v>Applicant</x:v>
      </x:c>
      <x:c r="H63" s="13" t="str">
        <x:v>Visa Prepare</x:v>
      </x:c>
      <x:c r="I63" s="13" t="str">
        <x:v>Theo kích thước từng quốc gia</x:v>
      </x:c>
      <x:c r="J63" s="13" t="str"/>
    </x:row>
    <x:row r="64">
      <x:c r="A64" s="13" t="str">
        <x:v>CHK-ST-0063</x:v>
      </x:c>
      <x:c r="B64" s="13" t="str">
        <x:v>JP-STUDY-STUDENT-COE</x:v>
      </x:c>
      <x:c r="C64" s="13" t="str">
        <x:v>Nhật Bản</x:v>
      </x:c>
      <x:c r="D64" s="13" t="str">
        <x:v>ACADEMIC</x:v>
      </x:c>
      <x:c r="E64" s="13" t="str">
        <x:v>Bằng cấp/Bảng điểm gần nhất</x:v>
      </x:c>
      <x:c r="F64" s="13" t="str">
        <x:v>Bắt buộc</x:v>
      </x:c>
      <x:c r="G64" s="13" t="str">
        <x:v>Applicant</x:v>
      </x:c>
      <x:c r="H64" s="13" t="str">
        <x:v>Counselling</x:v>
      </x:c>
      <x:c r="I64" s="13" t="str">
        <x:v>Dịch thuật công chứng nếu cần</x:v>
      </x:c>
      <x:c r="J64" s="13" t="str"/>
    </x:row>
    <x:row r="65">
      <x:c r="A65" s="13" t="str">
        <x:v>CHK-ST-0064</x:v>
      </x:c>
      <x:c r="B65" s="13" t="str">
        <x:v>JP-STUDY-STUDENT-COE</x:v>
      </x:c>
      <x:c r="C65" s="13" t="str">
        <x:v>Nhật Bản</x:v>
      </x:c>
      <x:c r="D65" s="13" t="str">
        <x:v>ACADEMIC</x:v>
      </x:c>
      <x:c r="E65" s="13" t="str">
        <x:v>Kế hoạch học tập/SOP/Study Plan</x:v>
      </x:c>
      <x:c r="F65" s="13" t="str">
        <x:v>Bắt buộc</x:v>
      </x:c>
      <x:c r="G65" s="13" t="str">
        <x:v>Applicant</x:v>
      </x:c>
      <x:c r="H65" s="13" t="str">
        <x:v>Visa Prepare</x:v>
      </x:c>
      <x:c r="I65" s="13" t="str">
        <x:v>Theo quốc gia: GS/GTE/Study Plan/SOP</x:v>
      </x:c>
      <x:c r="J65" s="13" t="str">
        <x:v>SOP Template</x:v>
      </x:c>
    </x:row>
    <x:row r="66">
      <x:c r="A66" s="13" t="str">
        <x:v>CHK-ST-0065</x:v>
      </x:c>
      <x:c r="B66" s="13" t="str">
        <x:v>JP-STUDY-STUDENT-COE</x:v>
      </x:c>
      <x:c r="C66" s="13" t="str">
        <x:v>Nhật Bản</x:v>
      </x:c>
      <x:c r="D66" s="13" t="str">
        <x:v>ADMISSION</x:v>
      </x:c>
      <x:c r="E66" s="13" t="str">
        <x:v>Thư mời nhập học/LOA/COE/CAS/I-20</x:v>
      </x:c>
      <x:c r="F66" s="13" t="str">
        <x:v>Bắt buộc</x:v>
      </x:c>
      <x:c r="G66" s="13" t="str">
        <x:v>Applicant</x:v>
      </x:c>
      <x:c r="H66" s="13" t="str">
        <x:v>Offer/LOA</x:v>
      </x:c>
      <x:c r="I66" s="13" t="str">
        <x:v>Tên gọi thay đổi theo quốc gia</x:v>
      </x:c>
      <x:c r="J66" s="13" t="str"/>
    </x:row>
    <x:row r="67">
      <x:c r="A67" s="13" t="str">
        <x:v>CHK-ST-0066</x:v>
      </x:c>
      <x:c r="B67" s="13" t="str">
        <x:v>JP-STUDY-STUDENT-COE</x:v>
      </x:c>
      <x:c r="C67" s="13" t="str">
        <x:v>Nhật Bản</x:v>
      </x:c>
      <x:c r="D67" s="13" t="str">
        <x:v>FINANCE</x:v>
      </x:c>
      <x:c r="E67" s="13" t="str">
        <x:v>Sổ tiết kiệm/Sao kê/GIC/Blocked Account</x:v>
      </x:c>
      <x:c r="F67" s="13" t="str">
        <x:v>Tùy diện</x:v>
      </x:c>
      <x:c r="G67" s="13" t="str">
        <x:v>Sponsor</x:v>
      </x:c>
      <x:c r="H67" s="13" t="str">
        <x:v>Visa Prepare</x:v>
      </x:c>
      <x:c r="I67" s="13" t="str">
        <x:v>Theo quy định từng nước và từng thời điểm</x:v>
      </x:c>
      <x:c r="J67" s="13" t="str"/>
    </x:row>
    <x:row r="68">
      <x:c r="A68" s="13" t="str">
        <x:v>CHK-ST-0067</x:v>
      </x:c>
      <x:c r="B68" s="13" t="str">
        <x:v>JP-STUDY-STUDENT-COE</x:v>
      </x:c>
      <x:c r="C68" s="13" t="str">
        <x:v>Nhật Bản</x:v>
      </x:c>
      <x:c r="D68" s="13" t="str">
        <x:v>SPONSOR</x:v>
      </x:c>
      <x:c r="E68" s="13" t="str">
        <x:v>Giấy tờ người bảo lãnh tài chính</x:v>
      </x:c>
      <x:c r="F68" s="13" t="str">
        <x:v>Tùy diện</x:v>
      </x:c>
      <x:c r="G68" s="13" t="str">
        <x:v>Sponsor</x:v>
      </x:c>
      <x:c r="H68" s="13" t="str">
        <x:v>Visa Prepare</x:v>
      </x:c>
      <x:c r="I68" s="13" t="str">
        <x:v>HĐLĐ, ĐKKD, thuế, sao kê, tài sản</x:v>
      </x:c>
      <x:c r="J68" s="13" t="str"/>
    </x:row>
    <x:row r="69">
      <x:c r="A69" s="13" t="str">
        <x:v>CHK-ST-0068</x:v>
      </x:c>
      <x:c r="B69" s="13" t="str">
        <x:v>JP-STUDY-STUDENT-COE</x:v>
      </x:c>
      <x:c r="C69" s="13" t="str">
        <x:v>Nhật Bản</x:v>
      </x:c>
      <x:c r="D69" s="13" t="str">
        <x:v>TRAVEL</x:v>
      </x:c>
      <x:c r="E69" s="13" t="str">
        <x:v>Bảo hiểm, booking, kế hoạch lưu trú</x:v>
      </x:c>
      <x:c r="F69" s="13" t="str">
        <x:v>Tùy diện</x:v>
      </x:c>
      <x:c r="G69" s="13" t="str">
        <x:v>Applicant</x:v>
      </x:c>
      <x:c r="H69" s="13" t="str">
        <x:v>Visa Prepare</x:v>
      </x:c>
      <x:c r="I69" s="13" t="str">
        <x:v>Đặc biệt với Schengen/Visitor study</x:v>
      </x:c>
      <x:c r="J69" s="13" t="str"/>
    </x:row>
    <x:row r="70">
      <x:c r="A70" s="13" t="str">
        <x:v>CHK-ST-0069</x:v>
      </x:c>
      <x:c r="B70" s="13" t="str">
        <x:v>JP-STUDY-STUDENT-COE</x:v>
      </x:c>
      <x:c r="C70" s="13" t="str">
        <x:v>Nhật Bản</x:v>
      </x:c>
      <x:c r="D70" s="13" t="str">
        <x:v>MEDICAL</x:v>
      </x:c>
      <x:c r="E70" s="13" t="str">
        <x:v>Khám sức khỏe/Lao phổi/Chest X-ray</x:v>
      </x:c>
      <x:c r="F70" s="13" t="str">
        <x:v>Tùy diện</x:v>
      </x:c>
      <x:c r="G70" s="13" t="str">
        <x:v>Applicant</x:v>
      </x:c>
      <x:c r="H70" s="13" t="str">
        <x:v>Medical</x:v>
      </x:c>
      <x:c r="I70" s="13" t="str">
        <x:v>Canada/Úc/NZ/Hàn tùy trường hợp</x:v>
      </x:c>
      <x:c r="J70" s="13" t="str"/>
    </x:row>
    <x:row r="71">
      <x:c r="A71" s="13" t="str">
        <x:v>CHK-ST-0070</x:v>
      </x:c>
      <x:c r="B71" s="13" t="str">
        <x:v>JP-STUDY-STUDENT-COE</x:v>
      </x:c>
      <x:c r="C71" s="13" t="str">
        <x:v>Nhật Bản</x:v>
      </x:c>
      <x:c r="D71" s="13" t="str">
        <x:v>BIOMETRIC</x:v>
      </x:c>
      <x:c r="E71" s="13" t="str">
        <x:v>Sinh trắc học/Phỏng vấn</x:v>
      </x:c>
      <x:c r="F71" s="13" t="str">
        <x:v>Tùy diện</x:v>
      </x:c>
      <x:c r="G71" s="13" t="str">
        <x:v>Applicant</x:v>
      </x:c>
      <x:c r="H71" s="13" t="str">
        <x:v>Biometrics/Interview</x:v>
      </x:c>
      <x:c r="I71" s="13" t="str">
        <x:v>VAC/VFS/LSQ theo từng nước</x:v>
      </x:c>
      <x:c r="J71" s="13" t="str"/>
    </x:row>
    <x:row r="72">
      <x:c r="A72" s="13" t="str">
        <x:v>CHK-ST-0071</x:v>
      </x:c>
      <x:c r="B72" s="13" t="str">
        <x:v>CN-STUDY-X1-LONG</x:v>
      </x:c>
      <x:c r="C72" s="13" t="str">
        <x:v>Trung Quốc</x:v>
      </x:c>
      <x:c r="D72" s="13" t="str">
        <x:v>PERSONAL</x:v>
      </x:c>
      <x:c r="E72" s="13" t="str">
        <x:v>Hộ chiếu còn hạn</x:v>
      </x:c>
      <x:c r="F72" s="13" t="str">
        <x:v>Bắt buộc</x:v>
      </x:c>
      <x:c r="G72" s="13" t="str">
        <x:v>Applicant</x:v>
      </x:c>
      <x:c r="H72" s="13" t="str">
        <x:v>Intake</x:v>
      </x:c>
      <x:c r="I72" s="13" t="str">
        <x:v>Scan màu đủ trang thông tin và lịch sử visa</x:v>
      </x:c>
      <x:c r="J72" s="13" t="str"/>
    </x:row>
    <x:row r="73">
      <x:c r="A73" s="13" t="str">
        <x:v>CHK-ST-0072</x:v>
      </x:c>
      <x:c r="B73" s="13" t="str">
        <x:v>CN-STUDY-X1-LONG</x:v>
      </x:c>
      <x:c r="C73" s="13" t="str">
        <x:v>Trung Quốc</x:v>
      </x:c>
      <x:c r="D73" s="13" t="str">
        <x:v>PERSONAL</x:v>
      </x:c>
      <x:c r="E73" s="13" t="str">
        <x:v>Ảnh thẻ đúng chuẩn lãnh sự</x:v>
      </x:c>
      <x:c r="F73" s="13" t="str">
        <x:v>Bắt buộc</x:v>
      </x:c>
      <x:c r="G73" s="13" t="str">
        <x:v>Applicant</x:v>
      </x:c>
      <x:c r="H73" s="13" t="str">
        <x:v>Visa Prepare</x:v>
      </x:c>
      <x:c r="I73" s="13" t="str">
        <x:v>Theo kích thước từng quốc gia</x:v>
      </x:c>
      <x:c r="J73" s="13" t="str"/>
    </x:row>
    <x:row r="74">
      <x:c r="A74" s="13" t="str">
        <x:v>CHK-ST-0073</x:v>
      </x:c>
      <x:c r="B74" s="13" t="str">
        <x:v>CN-STUDY-X1-LONG</x:v>
      </x:c>
      <x:c r="C74" s="13" t="str">
        <x:v>Trung Quốc</x:v>
      </x:c>
      <x:c r="D74" s="13" t="str">
        <x:v>ACADEMIC</x:v>
      </x:c>
      <x:c r="E74" s="13" t="str">
        <x:v>Bằng cấp/Bảng điểm gần nhất</x:v>
      </x:c>
      <x:c r="F74" s="13" t="str">
        <x:v>Bắt buộc</x:v>
      </x:c>
      <x:c r="G74" s="13" t="str">
        <x:v>Applicant</x:v>
      </x:c>
      <x:c r="H74" s="13" t="str">
        <x:v>Counselling</x:v>
      </x:c>
      <x:c r="I74" s="13" t="str">
        <x:v>Dịch thuật công chứng nếu cần</x:v>
      </x:c>
      <x:c r="J74" s="13" t="str"/>
    </x:row>
    <x:row r="75">
      <x:c r="A75" s="13" t="str">
        <x:v>CHK-ST-0074</x:v>
      </x:c>
      <x:c r="B75" s="13" t="str">
        <x:v>CN-STUDY-X1-LONG</x:v>
      </x:c>
      <x:c r="C75" s="13" t="str">
        <x:v>Trung Quốc</x:v>
      </x:c>
      <x:c r="D75" s="13" t="str">
        <x:v>ACADEMIC</x:v>
      </x:c>
      <x:c r="E75" s="13" t="str">
        <x:v>Kế hoạch học tập/SOP/Study Plan</x:v>
      </x:c>
      <x:c r="F75" s="13" t="str">
        <x:v>Bắt buộc</x:v>
      </x:c>
      <x:c r="G75" s="13" t="str">
        <x:v>Applicant</x:v>
      </x:c>
      <x:c r="H75" s="13" t="str">
        <x:v>Visa Prepare</x:v>
      </x:c>
      <x:c r="I75" s="13" t="str">
        <x:v>Theo quốc gia: GS/GTE/Study Plan/SOP</x:v>
      </x:c>
      <x:c r="J75" s="13" t="str">
        <x:v>SOP Template</x:v>
      </x:c>
    </x:row>
    <x:row r="76">
      <x:c r="A76" s="13" t="str">
        <x:v>CHK-ST-0075</x:v>
      </x:c>
      <x:c r="B76" s="13" t="str">
        <x:v>CN-STUDY-X1-LONG</x:v>
      </x:c>
      <x:c r="C76" s="13" t="str">
        <x:v>Trung Quốc</x:v>
      </x:c>
      <x:c r="D76" s="13" t="str">
        <x:v>ADMISSION</x:v>
      </x:c>
      <x:c r="E76" s="13" t="str">
        <x:v>Thư mời nhập học/LOA/COE/CAS/I-20</x:v>
      </x:c>
      <x:c r="F76" s="13" t="str">
        <x:v>Bắt buộc</x:v>
      </x:c>
      <x:c r="G76" s="13" t="str">
        <x:v>Applicant</x:v>
      </x:c>
      <x:c r="H76" s="13" t="str">
        <x:v>Offer/LOA</x:v>
      </x:c>
      <x:c r="I76" s="13" t="str">
        <x:v>Tên gọi thay đổi theo quốc gia</x:v>
      </x:c>
      <x:c r="J76" s="13" t="str"/>
    </x:row>
    <x:row r="77">
      <x:c r="A77" s="13" t="str">
        <x:v>CHK-ST-0076</x:v>
      </x:c>
      <x:c r="B77" s="13" t="str">
        <x:v>CN-STUDY-X1-LONG</x:v>
      </x:c>
      <x:c r="C77" s="13" t="str">
        <x:v>Trung Quốc</x:v>
      </x:c>
      <x:c r="D77" s="13" t="str">
        <x:v>FINANCE</x:v>
      </x:c>
      <x:c r="E77" s="13" t="str">
        <x:v>Sổ tiết kiệm/Sao kê/GIC/Blocked Account</x:v>
      </x:c>
      <x:c r="F77" s="13" t="str">
        <x:v>Tùy diện</x:v>
      </x:c>
      <x:c r="G77" s="13" t="str">
        <x:v>Sponsor</x:v>
      </x:c>
      <x:c r="H77" s="13" t="str">
        <x:v>Visa Prepare</x:v>
      </x:c>
      <x:c r="I77" s="13" t="str">
        <x:v>Theo quy định từng nước và từng thời điểm</x:v>
      </x:c>
      <x:c r="J77" s="13" t="str"/>
    </x:row>
    <x:row r="78">
      <x:c r="A78" s="13" t="str">
        <x:v>CHK-ST-0077</x:v>
      </x:c>
      <x:c r="B78" s="13" t="str">
        <x:v>CN-STUDY-X1-LONG</x:v>
      </x:c>
      <x:c r="C78" s="13" t="str">
        <x:v>Trung Quốc</x:v>
      </x:c>
      <x:c r="D78" s="13" t="str">
        <x:v>SPONSOR</x:v>
      </x:c>
      <x:c r="E78" s="13" t="str">
        <x:v>Giấy tờ người bảo lãnh tài chính</x:v>
      </x:c>
      <x:c r="F78" s="13" t="str">
        <x:v>Tùy diện</x:v>
      </x:c>
      <x:c r="G78" s="13" t="str">
        <x:v>Sponsor</x:v>
      </x:c>
      <x:c r="H78" s="13" t="str">
        <x:v>Visa Prepare</x:v>
      </x:c>
      <x:c r="I78" s="13" t="str">
        <x:v>HĐLĐ, ĐKKD, thuế, sao kê, tài sản</x:v>
      </x:c>
      <x:c r="J78" s="13" t="str"/>
    </x:row>
    <x:row r="79">
      <x:c r="A79" s="13" t="str">
        <x:v>CHK-ST-0078</x:v>
      </x:c>
      <x:c r="B79" s="13" t="str">
        <x:v>CN-STUDY-X1-LONG</x:v>
      </x:c>
      <x:c r="C79" s="13" t="str">
        <x:v>Trung Quốc</x:v>
      </x:c>
      <x:c r="D79" s="13" t="str">
        <x:v>TRAVEL</x:v>
      </x:c>
      <x:c r="E79" s="13" t="str">
        <x:v>Bảo hiểm, booking, kế hoạch lưu trú</x:v>
      </x:c>
      <x:c r="F79" s="13" t="str">
        <x:v>Tùy diện</x:v>
      </x:c>
      <x:c r="G79" s="13" t="str">
        <x:v>Applicant</x:v>
      </x:c>
      <x:c r="H79" s="13" t="str">
        <x:v>Visa Prepare</x:v>
      </x:c>
      <x:c r="I79" s="13" t="str">
        <x:v>Đặc biệt với Schengen/Visitor study</x:v>
      </x:c>
      <x:c r="J79" s="13" t="str"/>
    </x:row>
    <x:row r="80">
      <x:c r="A80" s="13" t="str">
        <x:v>CHK-ST-0079</x:v>
      </x:c>
      <x:c r="B80" s="13" t="str">
        <x:v>CN-STUDY-X1-LONG</x:v>
      </x:c>
      <x:c r="C80" s="13" t="str">
        <x:v>Trung Quốc</x:v>
      </x:c>
      <x:c r="D80" s="13" t="str">
        <x:v>MEDICAL</x:v>
      </x:c>
      <x:c r="E80" s="13" t="str">
        <x:v>Khám sức khỏe/Lao phổi/Chest X-ray</x:v>
      </x:c>
      <x:c r="F80" s="13" t="str">
        <x:v>Tùy diện</x:v>
      </x:c>
      <x:c r="G80" s="13" t="str">
        <x:v>Applicant</x:v>
      </x:c>
      <x:c r="H80" s="13" t="str">
        <x:v>Medical</x:v>
      </x:c>
      <x:c r="I80" s="13" t="str">
        <x:v>Canada/Úc/NZ/Hàn tùy trường hợp</x:v>
      </x:c>
      <x:c r="J80" s="13" t="str"/>
    </x:row>
    <x:row r="81">
      <x:c r="A81" s="13" t="str">
        <x:v>CHK-ST-0080</x:v>
      </x:c>
      <x:c r="B81" s="13" t="str">
        <x:v>CN-STUDY-X1-LONG</x:v>
      </x:c>
      <x:c r="C81" s="13" t="str">
        <x:v>Trung Quốc</x:v>
      </x:c>
      <x:c r="D81" s="13" t="str">
        <x:v>BIOMETRIC</x:v>
      </x:c>
      <x:c r="E81" s="13" t="str">
        <x:v>Sinh trắc học/Phỏng vấn</x:v>
      </x:c>
      <x:c r="F81" s="13" t="str">
        <x:v>Tùy diện</x:v>
      </x:c>
      <x:c r="G81" s="13" t="str">
        <x:v>Applicant</x:v>
      </x:c>
      <x:c r="H81" s="13" t="str">
        <x:v>Biometrics/Interview</x:v>
      </x:c>
      <x:c r="I81" s="13" t="str">
        <x:v>VAC/VFS/LSQ theo từng nước</x:v>
      </x:c>
      <x:c r="J81" s="13" t="str"/>
    </x:row>
    <x:row r="82">
      <x:c r="A82" s="13" t="str">
        <x:v>CHK-ST-0081</x:v>
      </x:c>
      <x:c r="B82" s="13" t="str">
        <x:v>CN-STUDY-X2-SHORT</x:v>
      </x:c>
      <x:c r="C82" s="13" t="str">
        <x:v>Trung Quốc</x:v>
      </x:c>
      <x:c r="D82" s="13" t="str">
        <x:v>PERSONAL</x:v>
      </x:c>
      <x:c r="E82" s="13" t="str">
        <x:v>Hộ chiếu còn hạn</x:v>
      </x:c>
      <x:c r="F82" s="13" t="str">
        <x:v>Bắt buộc</x:v>
      </x:c>
      <x:c r="G82" s="13" t="str">
        <x:v>Applicant</x:v>
      </x:c>
      <x:c r="H82" s="13" t="str">
        <x:v>Intake</x:v>
      </x:c>
      <x:c r="I82" s="13" t="str">
        <x:v>Scan màu đủ trang thông tin và lịch sử visa</x:v>
      </x:c>
      <x:c r="J82" s="13" t="str"/>
    </x:row>
    <x:row r="83">
      <x:c r="A83" s="13" t="str">
        <x:v>CHK-ST-0082</x:v>
      </x:c>
      <x:c r="B83" s="13" t="str">
        <x:v>CN-STUDY-X2-SHORT</x:v>
      </x:c>
      <x:c r="C83" s="13" t="str">
        <x:v>Trung Quốc</x:v>
      </x:c>
      <x:c r="D83" s="13" t="str">
        <x:v>PERSONAL</x:v>
      </x:c>
      <x:c r="E83" s="13" t="str">
        <x:v>Ảnh thẻ đúng chuẩn lãnh sự</x:v>
      </x:c>
      <x:c r="F83" s="13" t="str">
        <x:v>Bắt buộc</x:v>
      </x:c>
      <x:c r="G83" s="13" t="str">
        <x:v>Applicant</x:v>
      </x:c>
      <x:c r="H83" s="13" t="str">
        <x:v>Visa Prepare</x:v>
      </x:c>
      <x:c r="I83" s="13" t="str">
        <x:v>Theo kích thước từng quốc gia</x:v>
      </x:c>
      <x:c r="J83" s="13" t="str"/>
    </x:row>
    <x:row r="84">
      <x:c r="A84" s="13" t="str">
        <x:v>CHK-ST-0083</x:v>
      </x:c>
      <x:c r="B84" s="13" t="str">
        <x:v>CN-STUDY-X2-SHORT</x:v>
      </x:c>
      <x:c r="C84" s="13" t="str">
        <x:v>Trung Quốc</x:v>
      </x:c>
      <x:c r="D84" s="13" t="str">
        <x:v>ACADEMIC</x:v>
      </x:c>
      <x:c r="E84" s="13" t="str">
        <x:v>Bằng cấp/Bảng điểm gần nhất</x:v>
      </x:c>
      <x:c r="F84" s="13" t="str">
        <x:v>Bắt buộc</x:v>
      </x:c>
      <x:c r="G84" s="13" t="str">
        <x:v>Applicant</x:v>
      </x:c>
      <x:c r="H84" s="13" t="str">
        <x:v>Counselling</x:v>
      </x:c>
      <x:c r="I84" s="13" t="str">
        <x:v>Dịch thuật công chứng nếu cần</x:v>
      </x:c>
      <x:c r="J84" s="13" t="str"/>
    </x:row>
    <x:row r="85">
      <x:c r="A85" s="13" t="str">
        <x:v>CHK-ST-0084</x:v>
      </x:c>
      <x:c r="B85" s="13" t="str">
        <x:v>CN-STUDY-X2-SHORT</x:v>
      </x:c>
      <x:c r="C85" s="13" t="str">
        <x:v>Trung Quốc</x:v>
      </x:c>
      <x:c r="D85" s="13" t="str">
        <x:v>ACADEMIC</x:v>
      </x:c>
      <x:c r="E85" s="13" t="str">
        <x:v>Kế hoạch học tập/SOP/Study Plan</x:v>
      </x:c>
      <x:c r="F85" s="13" t="str">
        <x:v>Bắt buộc</x:v>
      </x:c>
      <x:c r="G85" s="13" t="str">
        <x:v>Applicant</x:v>
      </x:c>
      <x:c r="H85" s="13" t="str">
        <x:v>Visa Prepare</x:v>
      </x:c>
      <x:c r="I85" s="13" t="str">
        <x:v>Theo quốc gia: GS/GTE/Study Plan/SOP</x:v>
      </x:c>
      <x:c r="J85" s="13" t="str">
        <x:v>SOP Template</x:v>
      </x:c>
    </x:row>
    <x:row r="86">
      <x:c r="A86" s="13" t="str">
        <x:v>CHK-ST-0085</x:v>
      </x:c>
      <x:c r="B86" s="13" t="str">
        <x:v>CN-STUDY-X2-SHORT</x:v>
      </x:c>
      <x:c r="C86" s="13" t="str">
        <x:v>Trung Quốc</x:v>
      </x:c>
      <x:c r="D86" s="13" t="str">
        <x:v>ADMISSION</x:v>
      </x:c>
      <x:c r="E86" s="13" t="str">
        <x:v>Thư mời nhập học/LOA/COE/CAS/I-20</x:v>
      </x:c>
      <x:c r="F86" s="13" t="str">
        <x:v>Bắt buộc</x:v>
      </x:c>
      <x:c r="G86" s="13" t="str">
        <x:v>Applicant</x:v>
      </x:c>
      <x:c r="H86" s="13" t="str">
        <x:v>Offer/LOA</x:v>
      </x:c>
      <x:c r="I86" s="13" t="str">
        <x:v>Tên gọi thay đổi theo quốc gia</x:v>
      </x:c>
      <x:c r="J86" s="13" t="str"/>
    </x:row>
    <x:row r="87">
      <x:c r="A87" s="13" t="str">
        <x:v>CHK-ST-0086</x:v>
      </x:c>
      <x:c r="B87" s="13" t="str">
        <x:v>CN-STUDY-X2-SHORT</x:v>
      </x:c>
      <x:c r="C87" s="13" t="str">
        <x:v>Trung Quốc</x:v>
      </x:c>
      <x:c r="D87" s="13" t="str">
        <x:v>FINANCE</x:v>
      </x:c>
      <x:c r="E87" s="13" t="str">
        <x:v>Sổ tiết kiệm/Sao kê/GIC/Blocked Account</x:v>
      </x:c>
      <x:c r="F87" s="13" t="str">
        <x:v>Tùy diện</x:v>
      </x:c>
      <x:c r="G87" s="13" t="str">
        <x:v>Sponsor</x:v>
      </x:c>
      <x:c r="H87" s="13" t="str">
        <x:v>Visa Prepare</x:v>
      </x:c>
      <x:c r="I87" s="13" t="str">
        <x:v>Theo quy định từng nước và từng thời điểm</x:v>
      </x:c>
      <x:c r="J87" s="13" t="str"/>
    </x:row>
    <x:row r="88">
      <x:c r="A88" s="13" t="str">
        <x:v>CHK-ST-0087</x:v>
      </x:c>
      <x:c r="B88" s="13" t="str">
        <x:v>CN-STUDY-X2-SHORT</x:v>
      </x:c>
      <x:c r="C88" s="13" t="str">
        <x:v>Trung Quốc</x:v>
      </x:c>
      <x:c r="D88" s="13" t="str">
        <x:v>SPONSOR</x:v>
      </x:c>
      <x:c r="E88" s="13" t="str">
        <x:v>Giấy tờ người bảo lãnh tài chính</x:v>
      </x:c>
      <x:c r="F88" s="13" t="str">
        <x:v>Tùy diện</x:v>
      </x:c>
      <x:c r="G88" s="13" t="str">
        <x:v>Sponsor</x:v>
      </x:c>
      <x:c r="H88" s="13" t="str">
        <x:v>Visa Prepare</x:v>
      </x:c>
      <x:c r="I88" s="13" t="str">
        <x:v>HĐLĐ, ĐKKD, thuế, sao kê, tài sản</x:v>
      </x:c>
      <x:c r="J88" s="13" t="str"/>
    </x:row>
    <x:row r="89">
      <x:c r="A89" s="13" t="str">
        <x:v>CHK-ST-0088</x:v>
      </x:c>
      <x:c r="B89" s="13" t="str">
        <x:v>CN-STUDY-X2-SHORT</x:v>
      </x:c>
      <x:c r="C89" s="13" t="str">
        <x:v>Trung Quốc</x:v>
      </x:c>
      <x:c r="D89" s="13" t="str">
        <x:v>TRAVEL</x:v>
      </x:c>
      <x:c r="E89" s="13" t="str">
        <x:v>Bảo hiểm, booking, kế hoạch lưu trú</x:v>
      </x:c>
      <x:c r="F89" s="13" t="str">
        <x:v>Tùy diện</x:v>
      </x:c>
      <x:c r="G89" s="13" t="str">
        <x:v>Applicant</x:v>
      </x:c>
      <x:c r="H89" s="13" t="str">
        <x:v>Visa Prepare</x:v>
      </x:c>
      <x:c r="I89" s="13" t="str">
        <x:v>Đặc biệt với Schengen/Visitor study</x:v>
      </x:c>
      <x:c r="J89" s="13" t="str"/>
    </x:row>
    <x:row r="90">
      <x:c r="A90" s="13" t="str">
        <x:v>CHK-ST-0089</x:v>
      </x:c>
      <x:c r="B90" s="13" t="str">
        <x:v>CN-STUDY-X2-SHORT</x:v>
      </x:c>
      <x:c r="C90" s="13" t="str">
        <x:v>Trung Quốc</x:v>
      </x:c>
      <x:c r="D90" s="13" t="str">
        <x:v>MEDICAL</x:v>
      </x:c>
      <x:c r="E90" s="13" t="str">
        <x:v>Khám sức khỏe/Lao phổi/Chest X-ray</x:v>
      </x:c>
      <x:c r="F90" s="13" t="str">
        <x:v>Tùy diện</x:v>
      </x:c>
      <x:c r="G90" s="13" t="str">
        <x:v>Applicant</x:v>
      </x:c>
      <x:c r="H90" s="13" t="str">
        <x:v>Medical</x:v>
      </x:c>
      <x:c r="I90" s="13" t="str">
        <x:v>Canada/Úc/NZ/Hàn tùy trường hợp</x:v>
      </x:c>
      <x:c r="J90" s="13" t="str"/>
    </x:row>
    <x:row r="91">
      <x:c r="A91" s="13" t="str">
        <x:v>CHK-ST-0090</x:v>
      </x:c>
      <x:c r="B91" s="13" t="str">
        <x:v>CN-STUDY-X2-SHORT</x:v>
      </x:c>
      <x:c r="C91" s="13" t="str">
        <x:v>Trung Quốc</x:v>
      </x:c>
      <x:c r="D91" s="13" t="str">
        <x:v>BIOMETRIC</x:v>
      </x:c>
      <x:c r="E91" s="13" t="str">
        <x:v>Sinh trắc học/Phỏng vấn</x:v>
      </x:c>
      <x:c r="F91" s="13" t="str">
        <x:v>Tùy diện</x:v>
      </x:c>
      <x:c r="G91" s="13" t="str">
        <x:v>Applicant</x:v>
      </x:c>
      <x:c r="H91" s="13" t="str">
        <x:v>Biometrics/Interview</x:v>
      </x:c>
      <x:c r="I91" s="13" t="str">
        <x:v>VAC/VFS/LSQ theo từng nước</x:v>
      </x:c>
      <x:c r="J91" s="13" t="str"/>
    </x:row>
    <x:row r="92">
      <x:c r="A92" s="13" t="str">
        <x:v>CHK-ST-0091</x:v>
      </x:c>
      <x:c r="B92" s="13" t="str">
        <x:v>TW-STUDY-RESIDENT</x:v>
      </x:c>
      <x:c r="C92" s="13" t="str">
        <x:v>Đài Loan</x:v>
      </x:c>
      <x:c r="D92" s="13" t="str">
        <x:v>PERSONAL</x:v>
      </x:c>
      <x:c r="E92" s="13" t="str">
        <x:v>Hộ chiếu còn hạn</x:v>
      </x:c>
      <x:c r="F92" s="13" t="str">
        <x:v>Bắt buộc</x:v>
      </x:c>
      <x:c r="G92" s="13" t="str">
        <x:v>Applicant</x:v>
      </x:c>
      <x:c r="H92" s="13" t="str">
        <x:v>Intake</x:v>
      </x:c>
      <x:c r="I92" s="13" t="str">
        <x:v>Scan màu đủ trang thông tin và lịch sử visa</x:v>
      </x:c>
      <x:c r="J92" s="13" t="str"/>
    </x:row>
    <x:row r="93">
      <x:c r="A93" s="13" t="str">
        <x:v>CHK-ST-0092</x:v>
      </x:c>
      <x:c r="B93" s="13" t="str">
        <x:v>TW-STUDY-RESIDENT</x:v>
      </x:c>
      <x:c r="C93" s="13" t="str">
        <x:v>Đài Loan</x:v>
      </x:c>
      <x:c r="D93" s="13" t="str">
        <x:v>PERSONAL</x:v>
      </x:c>
      <x:c r="E93" s="13" t="str">
        <x:v>Ảnh thẻ đúng chuẩn lãnh sự</x:v>
      </x:c>
      <x:c r="F93" s="13" t="str">
        <x:v>Bắt buộc</x:v>
      </x:c>
      <x:c r="G93" s="13" t="str">
        <x:v>Applicant</x:v>
      </x:c>
      <x:c r="H93" s="13" t="str">
        <x:v>Visa Prepare</x:v>
      </x:c>
      <x:c r="I93" s="13" t="str">
        <x:v>Theo kích thước từng quốc gia</x:v>
      </x:c>
      <x:c r="J93" s="13" t="str"/>
    </x:row>
    <x:row r="94">
      <x:c r="A94" s="13" t="str">
        <x:v>CHK-ST-0093</x:v>
      </x:c>
      <x:c r="B94" s="13" t="str">
        <x:v>TW-STUDY-RESIDENT</x:v>
      </x:c>
      <x:c r="C94" s="13" t="str">
        <x:v>Đài Loan</x:v>
      </x:c>
      <x:c r="D94" s="13" t="str">
        <x:v>ACADEMIC</x:v>
      </x:c>
      <x:c r="E94" s="13" t="str">
        <x:v>Bằng cấp/Bảng điểm gần nhất</x:v>
      </x:c>
      <x:c r="F94" s="13" t="str">
        <x:v>Bắt buộc</x:v>
      </x:c>
      <x:c r="G94" s="13" t="str">
        <x:v>Applicant</x:v>
      </x:c>
      <x:c r="H94" s="13" t="str">
        <x:v>Counselling</x:v>
      </x:c>
      <x:c r="I94" s="13" t="str">
        <x:v>Dịch thuật công chứng nếu cần</x:v>
      </x:c>
      <x:c r="J94" s="13" t="str"/>
    </x:row>
    <x:row r="95">
      <x:c r="A95" s="13" t="str">
        <x:v>CHK-ST-0094</x:v>
      </x:c>
      <x:c r="B95" s="13" t="str">
        <x:v>TW-STUDY-RESIDENT</x:v>
      </x:c>
      <x:c r="C95" s="13" t="str">
        <x:v>Đài Loan</x:v>
      </x:c>
      <x:c r="D95" s="13" t="str">
        <x:v>ACADEMIC</x:v>
      </x:c>
      <x:c r="E95" s="13" t="str">
        <x:v>Kế hoạch học tập/SOP/Study Plan</x:v>
      </x:c>
      <x:c r="F95" s="13" t="str">
        <x:v>Bắt buộc</x:v>
      </x:c>
      <x:c r="G95" s="13" t="str">
        <x:v>Applicant</x:v>
      </x:c>
      <x:c r="H95" s="13" t="str">
        <x:v>Visa Prepare</x:v>
      </x:c>
      <x:c r="I95" s="13" t="str">
        <x:v>Theo quốc gia: GS/GTE/Study Plan/SOP</x:v>
      </x:c>
      <x:c r="J95" s="13" t="str">
        <x:v>SOP Template</x:v>
      </x:c>
    </x:row>
    <x:row r="96">
      <x:c r="A96" s="13" t="str">
        <x:v>CHK-ST-0095</x:v>
      </x:c>
      <x:c r="B96" s="13" t="str">
        <x:v>TW-STUDY-RESIDENT</x:v>
      </x:c>
      <x:c r="C96" s="13" t="str">
        <x:v>Đài Loan</x:v>
      </x:c>
      <x:c r="D96" s="13" t="str">
        <x:v>ADMISSION</x:v>
      </x:c>
      <x:c r="E96" s="13" t="str">
        <x:v>Thư mời nhập học/LOA/COE/CAS/I-20</x:v>
      </x:c>
      <x:c r="F96" s="13" t="str">
        <x:v>Bắt buộc</x:v>
      </x:c>
      <x:c r="G96" s="13" t="str">
        <x:v>Applicant</x:v>
      </x:c>
      <x:c r="H96" s="13" t="str">
        <x:v>Offer/LOA</x:v>
      </x:c>
      <x:c r="I96" s="13" t="str">
        <x:v>Tên gọi thay đổi theo quốc gia</x:v>
      </x:c>
      <x:c r="J96" s="13" t="str"/>
    </x:row>
    <x:row r="97">
      <x:c r="A97" s="13" t="str">
        <x:v>CHK-ST-0096</x:v>
      </x:c>
      <x:c r="B97" s="13" t="str">
        <x:v>TW-STUDY-RESIDENT</x:v>
      </x:c>
      <x:c r="C97" s="13" t="str">
        <x:v>Đài Loan</x:v>
      </x:c>
      <x:c r="D97" s="13" t="str">
        <x:v>FINANCE</x:v>
      </x:c>
      <x:c r="E97" s="13" t="str">
        <x:v>Sổ tiết kiệm/Sao kê/GIC/Blocked Account</x:v>
      </x:c>
      <x:c r="F97" s="13" t="str">
        <x:v>Tùy diện</x:v>
      </x:c>
      <x:c r="G97" s="13" t="str">
        <x:v>Sponsor</x:v>
      </x:c>
      <x:c r="H97" s="13" t="str">
        <x:v>Visa Prepare</x:v>
      </x:c>
      <x:c r="I97" s="13" t="str">
        <x:v>Theo quy định từng nước và từng thời điểm</x:v>
      </x:c>
      <x:c r="J97" s="13" t="str"/>
    </x:row>
    <x:row r="98">
      <x:c r="A98" s="13" t="str">
        <x:v>CHK-ST-0097</x:v>
      </x:c>
      <x:c r="B98" s="13" t="str">
        <x:v>TW-STUDY-RESIDENT</x:v>
      </x:c>
      <x:c r="C98" s="13" t="str">
        <x:v>Đài Loan</x:v>
      </x:c>
      <x:c r="D98" s="13" t="str">
        <x:v>SPONSOR</x:v>
      </x:c>
      <x:c r="E98" s="13" t="str">
        <x:v>Giấy tờ người bảo lãnh tài chính</x:v>
      </x:c>
      <x:c r="F98" s="13" t="str">
        <x:v>Tùy diện</x:v>
      </x:c>
      <x:c r="G98" s="13" t="str">
        <x:v>Sponsor</x:v>
      </x:c>
      <x:c r="H98" s="13" t="str">
        <x:v>Visa Prepare</x:v>
      </x:c>
      <x:c r="I98" s="13" t="str">
        <x:v>HĐLĐ, ĐKKD, thuế, sao kê, tài sản</x:v>
      </x:c>
      <x:c r="J98" s="13" t="str"/>
    </x:row>
    <x:row r="99">
      <x:c r="A99" s="13" t="str">
        <x:v>CHK-ST-0098</x:v>
      </x:c>
      <x:c r="B99" s="13" t="str">
        <x:v>TW-STUDY-RESIDENT</x:v>
      </x:c>
      <x:c r="C99" s="13" t="str">
        <x:v>Đài Loan</x:v>
      </x:c>
      <x:c r="D99" s="13" t="str">
        <x:v>TRAVEL</x:v>
      </x:c>
      <x:c r="E99" s="13" t="str">
        <x:v>Bảo hiểm, booking, kế hoạch lưu trú</x:v>
      </x:c>
      <x:c r="F99" s="13" t="str">
        <x:v>Tùy diện</x:v>
      </x:c>
      <x:c r="G99" s="13" t="str">
        <x:v>Applicant</x:v>
      </x:c>
      <x:c r="H99" s="13" t="str">
        <x:v>Visa Prepare</x:v>
      </x:c>
      <x:c r="I99" s="13" t="str">
        <x:v>Đặc biệt với Schengen/Visitor study</x:v>
      </x:c>
      <x:c r="J99" s="13" t="str"/>
    </x:row>
    <x:row r="100">
      <x:c r="A100" s="13" t="str">
        <x:v>CHK-ST-0099</x:v>
      </x:c>
      <x:c r="B100" s="13" t="str">
        <x:v>TW-STUDY-RESIDENT</x:v>
      </x:c>
      <x:c r="C100" s="13" t="str">
        <x:v>Đài Loan</x:v>
      </x:c>
      <x:c r="D100" s="13" t="str">
        <x:v>MEDICAL</x:v>
      </x:c>
      <x:c r="E100" s="13" t="str">
        <x:v>Khám sức khỏe/Lao phổi/Chest X-ray</x:v>
      </x:c>
      <x:c r="F100" s="13" t="str">
        <x:v>Tùy diện</x:v>
      </x:c>
      <x:c r="G100" s="13" t="str">
        <x:v>Applicant</x:v>
      </x:c>
      <x:c r="H100" s="13" t="str">
        <x:v>Medical</x:v>
      </x:c>
      <x:c r="I100" s="13" t="str">
        <x:v>Canada/Úc/NZ/Hàn tùy trường hợp</x:v>
      </x:c>
      <x:c r="J100" s="13" t="str"/>
    </x:row>
    <x:row r="101">
      <x:c r="A101" s="13" t="str">
        <x:v>CHK-ST-0100</x:v>
      </x:c>
      <x:c r="B101" s="13" t="str">
        <x:v>TW-STUDY-RESIDENT</x:v>
      </x:c>
      <x:c r="C101" s="13" t="str">
        <x:v>Đài Loan</x:v>
      </x:c>
      <x:c r="D101" s="13" t="str">
        <x:v>BIOMETRIC</x:v>
      </x:c>
      <x:c r="E101" s="13" t="str">
        <x:v>Sinh trắc học/Phỏng vấn</x:v>
      </x:c>
      <x:c r="F101" s="13" t="str">
        <x:v>Tùy diện</x:v>
      </x:c>
      <x:c r="G101" s="13" t="str">
        <x:v>Applicant</x:v>
      </x:c>
      <x:c r="H101" s="13" t="str">
        <x:v>Biometrics/Interview</x:v>
      </x:c>
      <x:c r="I101" s="13" t="str">
        <x:v>VAC/VFS/LSQ theo từng nước</x:v>
      </x:c>
      <x:c r="J101" s="13" t="str"/>
    </x:row>
    <x:row r="102">
      <x:c r="A102" s="13" t="str">
        <x:v>CHK-ST-0101</x:v>
      </x:c>
      <x:c r="B102" s="13" t="str">
        <x:v>TW-STUDY-VISITOR</x:v>
      </x:c>
      <x:c r="C102" s="13" t="str">
        <x:v>Đài Loan</x:v>
      </x:c>
      <x:c r="D102" s="13" t="str">
        <x:v>PERSONAL</x:v>
      </x:c>
      <x:c r="E102" s="13" t="str">
        <x:v>Hộ chiếu còn hạn</x:v>
      </x:c>
      <x:c r="F102" s="13" t="str">
        <x:v>Bắt buộc</x:v>
      </x:c>
      <x:c r="G102" s="13" t="str">
        <x:v>Applicant</x:v>
      </x:c>
      <x:c r="H102" s="13" t="str">
        <x:v>Intake</x:v>
      </x:c>
      <x:c r="I102" s="13" t="str">
        <x:v>Scan màu đủ trang thông tin và lịch sử visa</x:v>
      </x:c>
      <x:c r="J102" s="13" t="str"/>
    </x:row>
    <x:row r="103">
      <x:c r="A103" s="13" t="str">
        <x:v>CHK-ST-0102</x:v>
      </x:c>
      <x:c r="B103" s="13" t="str">
        <x:v>TW-STUDY-VISITOR</x:v>
      </x:c>
      <x:c r="C103" s="13" t="str">
        <x:v>Đài Loan</x:v>
      </x:c>
      <x:c r="D103" s="13" t="str">
        <x:v>PERSONAL</x:v>
      </x:c>
      <x:c r="E103" s="13" t="str">
        <x:v>Ảnh thẻ đúng chuẩn lãnh sự</x:v>
      </x:c>
      <x:c r="F103" s="13" t="str">
        <x:v>Bắt buộc</x:v>
      </x:c>
      <x:c r="G103" s="13" t="str">
        <x:v>Applicant</x:v>
      </x:c>
      <x:c r="H103" s="13" t="str">
        <x:v>Visa Prepare</x:v>
      </x:c>
      <x:c r="I103" s="13" t="str">
        <x:v>Theo kích thước từng quốc gia</x:v>
      </x:c>
      <x:c r="J103" s="13" t="str"/>
    </x:row>
    <x:row r="104">
      <x:c r="A104" s="13" t="str">
        <x:v>CHK-ST-0103</x:v>
      </x:c>
      <x:c r="B104" s="13" t="str">
        <x:v>TW-STUDY-VISITOR</x:v>
      </x:c>
      <x:c r="C104" s="13" t="str">
        <x:v>Đài Loan</x:v>
      </x:c>
      <x:c r="D104" s="13" t="str">
        <x:v>ACADEMIC</x:v>
      </x:c>
      <x:c r="E104" s="13" t="str">
        <x:v>Bằng cấp/Bảng điểm gần nhất</x:v>
      </x:c>
      <x:c r="F104" s="13" t="str">
        <x:v>Bắt buộc</x:v>
      </x:c>
      <x:c r="G104" s="13" t="str">
        <x:v>Applicant</x:v>
      </x:c>
      <x:c r="H104" s="13" t="str">
        <x:v>Counselling</x:v>
      </x:c>
      <x:c r="I104" s="13" t="str">
        <x:v>Dịch thuật công chứng nếu cần</x:v>
      </x:c>
      <x:c r="J104" s="13" t="str"/>
    </x:row>
    <x:row r="105">
      <x:c r="A105" s="13" t="str">
        <x:v>CHK-ST-0104</x:v>
      </x:c>
      <x:c r="B105" s="13" t="str">
        <x:v>TW-STUDY-VISITOR</x:v>
      </x:c>
      <x:c r="C105" s="13" t="str">
        <x:v>Đài Loan</x:v>
      </x:c>
      <x:c r="D105" s="13" t="str">
        <x:v>ACADEMIC</x:v>
      </x:c>
      <x:c r="E105" s="13" t="str">
        <x:v>Kế hoạch học tập/SOP/Study Plan</x:v>
      </x:c>
      <x:c r="F105" s="13" t="str">
        <x:v>Bắt buộc</x:v>
      </x:c>
      <x:c r="G105" s="13" t="str">
        <x:v>Applicant</x:v>
      </x:c>
      <x:c r="H105" s="13" t="str">
        <x:v>Visa Prepare</x:v>
      </x:c>
      <x:c r="I105" s="13" t="str">
        <x:v>Theo quốc gia: GS/GTE/Study Plan/SOP</x:v>
      </x:c>
      <x:c r="J105" s="13" t="str">
        <x:v>SOP Template</x:v>
      </x:c>
    </x:row>
    <x:row r="106">
      <x:c r="A106" s="13" t="str">
        <x:v>CHK-ST-0105</x:v>
      </x:c>
      <x:c r="B106" s="13" t="str">
        <x:v>TW-STUDY-VISITOR</x:v>
      </x:c>
      <x:c r="C106" s="13" t="str">
        <x:v>Đài Loan</x:v>
      </x:c>
      <x:c r="D106" s="13" t="str">
        <x:v>ADMISSION</x:v>
      </x:c>
      <x:c r="E106" s="13" t="str">
        <x:v>Thư mời nhập học/LOA/COE/CAS/I-20</x:v>
      </x:c>
      <x:c r="F106" s="13" t="str">
        <x:v>Bắt buộc</x:v>
      </x:c>
      <x:c r="G106" s="13" t="str">
        <x:v>Applicant</x:v>
      </x:c>
      <x:c r="H106" s="13" t="str">
        <x:v>Offer/LOA</x:v>
      </x:c>
      <x:c r="I106" s="13" t="str">
        <x:v>Tên gọi thay đổi theo quốc gia</x:v>
      </x:c>
      <x:c r="J106" s="13" t="str"/>
    </x:row>
    <x:row r="107">
      <x:c r="A107" s="13" t="str">
        <x:v>CHK-ST-0106</x:v>
      </x:c>
      <x:c r="B107" s="13" t="str">
        <x:v>TW-STUDY-VISITOR</x:v>
      </x:c>
      <x:c r="C107" s="13" t="str">
        <x:v>Đài Loan</x:v>
      </x:c>
      <x:c r="D107" s="13" t="str">
        <x:v>FINANCE</x:v>
      </x:c>
      <x:c r="E107" s="13" t="str">
        <x:v>Sổ tiết kiệm/Sao kê/GIC/Blocked Account</x:v>
      </x:c>
      <x:c r="F107" s="13" t="str">
        <x:v>Tùy diện</x:v>
      </x:c>
      <x:c r="G107" s="13" t="str">
        <x:v>Sponsor</x:v>
      </x:c>
      <x:c r="H107" s="13" t="str">
        <x:v>Visa Prepare</x:v>
      </x:c>
      <x:c r="I107" s="13" t="str">
        <x:v>Theo quy định từng nước và từng thời điểm</x:v>
      </x:c>
      <x:c r="J107" s="13" t="str"/>
    </x:row>
    <x:row r="108">
      <x:c r="A108" s="13" t="str">
        <x:v>CHK-ST-0107</x:v>
      </x:c>
      <x:c r="B108" s="13" t="str">
        <x:v>TW-STUDY-VISITOR</x:v>
      </x:c>
      <x:c r="C108" s="13" t="str">
        <x:v>Đài Loan</x:v>
      </x:c>
      <x:c r="D108" s="13" t="str">
        <x:v>SPONSOR</x:v>
      </x:c>
      <x:c r="E108" s="13" t="str">
        <x:v>Giấy tờ người bảo lãnh tài chính</x:v>
      </x:c>
      <x:c r="F108" s="13" t="str">
        <x:v>Tùy diện</x:v>
      </x:c>
      <x:c r="G108" s="13" t="str">
        <x:v>Sponsor</x:v>
      </x:c>
      <x:c r="H108" s="13" t="str">
        <x:v>Visa Prepare</x:v>
      </x:c>
      <x:c r="I108" s="13" t="str">
        <x:v>HĐLĐ, ĐKKD, thuế, sao kê, tài sản</x:v>
      </x:c>
      <x:c r="J108" s="13" t="str"/>
    </x:row>
    <x:row r="109">
      <x:c r="A109" s="13" t="str">
        <x:v>CHK-ST-0108</x:v>
      </x:c>
      <x:c r="B109" s="13" t="str">
        <x:v>TW-STUDY-VISITOR</x:v>
      </x:c>
      <x:c r="C109" s="13" t="str">
        <x:v>Đài Loan</x:v>
      </x:c>
      <x:c r="D109" s="13" t="str">
        <x:v>TRAVEL</x:v>
      </x:c>
      <x:c r="E109" s="13" t="str">
        <x:v>Bảo hiểm, booking, kế hoạch lưu trú</x:v>
      </x:c>
      <x:c r="F109" s="13" t="str">
        <x:v>Tùy diện</x:v>
      </x:c>
      <x:c r="G109" s="13" t="str">
        <x:v>Applicant</x:v>
      </x:c>
      <x:c r="H109" s="13" t="str">
        <x:v>Visa Prepare</x:v>
      </x:c>
      <x:c r="I109" s="13" t="str">
        <x:v>Đặc biệt với Schengen/Visitor study</x:v>
      </x:c>
      <x:c r="J109" s="13" t="str"/>
    </x:row>
    <x:row r="110">
      <x:c r="A110" s="13" t="str">
        <x:v>CHK-ST-0109</x:v>
      </x:c>
      <x:c r="B110" s="13" t="str">
        <x:v>TW-STUDY-VISITOR</x:v>
      </x:c>
      <x:c r="C110" s="13" t="str">
        <x:v>Đài Loan</x:v>
      </x:c>
      <x:c r="D110" s="13" t="str">
        <x:v>MEDICAL</x:v>
      </x:c>
      <x:c r="E110" s="13" t="str">
        <x:v>Khám sức khỏe/Lao phổi/Chest X-ray</x:v>
      </x:c>
      <x:c r="F110" s="13" t="str">
        <x:v>Tùy diện</x:v>
      </x:c>
      <x:c r="G110" s="13" t="str">
        <x:v>Applicant</x:v>
      </x:c>
      <x:c r="H110" s="13" t="str">
        <x:v>Medical</x:v>
      </x:c>
      <x:c r="I110" s="13" t="str">
        <x:v>Canada/Úc/NZ/Hàn tùy trường hợp</x:v>
      </x:c>
      <x:c r="J110" s="13" t="str"/>
    </x:row>
    <x:row r="111">
      <x:c r="A111" s="13" t="str">
        <x:v>CHK-ST-0110</x:v>
      </x:c>
      <x:c r="B111" s="13" t="str">
        <x:v>TW-STUDY-VISITOR</x:v>
      </x:c>
      <x:c r="C111" s="13" t="str">
        <x:v>Đài Loan</x:v>
      </x:c>
      <x:c r="D111" s="13" t="str">
        <x:v>BIOMETRIC</x:v>
      </x:c>
      <x:c r="E111" s="13" t="str">
        <x:v>Sinh trắc học/Phỏng vấn</x:v>
      </x:c>
      <x:c r="F111" s="13" t="str">
        <x:v>Tùy diện</x:v>
      </x:c>
      <x:c r="G111" s="13" t="str">
        <x:v>Applicant</x:v>
      </x:c>
      <x:c r="H111" s="13" t="str">
        <x:v>Biometrics/Interview</x:v>
      </x:c>
      <x:c r="I111" s="13" t="str">
        <x:v>VAC/VFS/LSQ theo từng nước</x:v>
      </x:c>
      <x:c r="J111" s="13" t="str"/>
    </x:row>
    <x:row r="112">
      <x:c r="A112" s="13" t="str">
        <x:v>CHK-ST-0111</x:v>
      </x:c>
      <x:c r="B112" s="13" t="str">
        <x:v>DE-STUDY-VET-BERUF</x:v>
      </x:c>
      <x:c r="C112" s="13" t="str">
        <x:v>Đức</x:v>
      </x:c>
      <x:c r="D112" s="13" t="str">
        <x:v>PERSONAL</x:v>
      </x:c>
      <x:c r="E112" s="13" t="str">
        <x:v>Hộ chiếu còn hạn</x:v>
      </x:c>
      <x:c r="F112" s="13" t="str">
        <x:v>Bắt buộc</x:v>
      </x:c>
      <x:c r="G112" s="13" t="str">
        <x:v>Applicant</x:v>
      </x:c>
      <x:c r="H112" s="13" t="str">
        <x:v>Intake</x:v>
      </x:c>
      <x:c r="I112" s="13" t="str">
        <x:v>Scan màu đủ trang thông tin và lịch sử visa</x:v>
      </x:c>
      <x:c r="J112" s="13" t="str"/>
    </x:row>
    <x:row r="113">
      <x:c r="A113" s="13" t="str">
        <x:v>CHK-ST-0112</x:v>
      </x:c>
      <x:c r="B113" s="13" t="str">
        <x:v>DE-STUDY-VET-BERUF</x:v>
      </x:c>
      <x:c r="C113" s="13" t="str">
        <x:v>Đức</x:v>
      </x:c>
      <x:c r="D113" s="13" t="str">
        <x:v>PERSONAL</x:v>
      </x:c>
      <x:c r="E113" s="13" t="str">
        <x:v>Ảnh thẻ đúng chuẩn lãnh sự</x:v>
      </x:c>
      <x:c r="F113" s="13" t="str">
        <x:v>Bắt buộc</x:v>
      </x:c>
      <x:c r="G113" s="13" t="str">
        <x:v>Applicant</x:v>
      </x:c>
      <x:c r="H113" s="13" t="str">
        <x:v>Visa Prepare</x:v>
      </x:c>
      <x:c r="I113" s="13" t="str">
        <x:v>Theo kích thước từng quốc gia</x:v>
      </x:c>
      <x:c r="J113" s="13" t="str"/>
    </x:row>
    <x:row r="114">
      <x:c r="A114" s="13" t="str">
        <x:v>CHK-ST-0113</x:v>
      </x:c>
      <x:c r="B114" s="13" t="str">
        <x:v>DE-STUDY-VET-BERUF</x:v>
      </x:c>
      <x:c r="C114" s="13" t="str">
        <x:v>Đức</x:v>
      </x:c>
      <x:c r="D114" s="13" t="str">
        <x:v>ACADEMIC</x:v>
      </x:c>
      <x:c r="E114" s="13" t="str">
        <x:v>Bằng cấp/Bảng điểm gần nhất</x:v>
      </x:c>
      <x:c r="F114" s="13" t="str">
        <x:v>Bắt buộc</x:v>
      </x:c>
      <x:c r="G114" s="13" t="str">
        <x:v>Applicant</x:v>
      </x:c>
      <x:c r="H114" s="13" t="str">
        <x:v>Counselling</x:v>
      </x:c>
      <x:c r="I114" s="13" t="str">
        <x:v>Dịch thuật công chứng nếu cần</x:v>
      </x:c>
      <x:c r="J114" s="13" t="str"/>
    </x:row>
    <x:row r="115">
      <x:c r="A115" s="13" t="str">
        <x:v>CHK-ST-0114</x:v>
      </x:c>
      <x:c r="B115" s="13" t="str">
        <x:v>DE-STUDY-VET-BERUF</x:v>
      </x:c>
      <x:c r="C115" s="13" t="str">
        <x:v>Đức</x:v>
      </x:c>
      <x:c r="D115" s="13" t="str">
        <x:v>ACADEMIC</x:v>
      </x:c>
      <x:c r="E115" s="13" t="str">
        <x:v>Kế hoạch học tập/SOP/Study Plan</x:v>
      </x:c>
      <x:c r="F115" s="13" t="str">
        <x:v>Bắt buộc</x:v>
      </x:c>
      <x:c r="G115" s="13" t="str">
        <x:v>Applicant</x:v>
      </x:c>
      <x:c r="H115" s="13" t="str">
        <x:v>Visa Prepare</x:v>
      </x:c>
      <x:c r="I115" s="13" t="str">
        <x:v>Theo quốc gia: GS/GTE/Study Plan/SOP</x:v>
      </x:c>
      <x:c r="J115" s="13" t="str">
        <x:v>SOP Template</x:v>
      </x:c>
    </x:row>
    <x:row r="116">
      <x:c r="A116" s="13" t="str">
        <x:v>CHK-ST-0115</x:v>
      </x:c>
      <x:c r="B116" s="13" t="str">
        <x:v>DE-STUDY-VET-BERUF</x:v>
      </x:c>
      <x:c r="C116" s="13" t="str">
        <x:v>Đức</x:v>
      </x:c>
      <x:c r="D116" s="13" t="str">
        <x:v>ADMISSION</x:v>
      </x:c>
      <x:c r="E116" s="13" t="str">
        <x:v>Thư mời nhập học/LOA/COE/CAS/I-20</x:v>
      </x:c>
      <x:c r="F116" s="13" t="str">
        <x:v>Bắt buộc</x:v>
      </x:c>
      <x:c r="G116" s="13" t="str">
        <x:v>Applicant</x:v>
      </x:c>
      <x:c r="H116" s="13" t="str">
        <x:v>Offer/LOA</x:v>
      </x:c>
      <x:c r="I116" s="13" t="str">
        <x:v>Tên gọi thay đổi theo quốc gia</x:v>
      </x:c>
      <x:c r="J116" s="13" t="str"/>
    </x:row>
    <x:row r="117">
      <x:c r="A117" s="13" t="str">
        <x:v>CHK-ST-0116</x:v>
      </x:c>
      <x:c r="B117" s="13" t="str">
        <x:v>DE-STUDY-VET-BERUF</x:v>
      </x:c>
      <x:c r="C117" s="13" t="str">
        <x:v>Đức</x:v>
      </x:c>
      <x:c r="D117" s="13" t="str">
        <x:v>FINANCE</x:v>
      </x:c>
      <x:c r="E117" s="13" t="str">
        <x:v>Sổ tiết kiệm/Sao kê/GIC/Blocked Account</x:v>
      </x:c>
      <x:c r="F117" s="13" t="str">
        <x:v>Tùy diện</x:v>
      </x:c>
      <x:c r="G117" s="13" t="str">
        <x:v>Sponsor</x:v>
      </x:c>
      <x:c r="H117" s="13" t="str">
        <x:v>Visa Prepare</x:v>
      </x:c>
      <x:c r="I117" s="13" t="str">
        <x:v>Theo quy định từng nước và từng thời điểm</x:v>
      </x:c>
      <x:c r="J117" s="13" t="str"/>
    </x:row>
    <x:row r="118">
      <x:c r="A118" s="13" t="str">
        <x:v>CHK-ST-0117</x:v>
      </x:c>
      <x:c r="B118" s="13" t="str">
        <x:v>DE-STUDY-VET-BERUF</x:v>
      </x:c>
      <x:c r="C118" s="13" t="str">
        <x:v>Đức</x:v>
      </x:c>
      <x:c r="D118" s="13" t="str">
        <x:v>SPONSOR</x:v>
      </x:c>
      <x:c r="E118" s="13" t="str">
        <x:v>Giấy tờ người bảo lãnh tài chính</x:v>
      </x:c>
      <x:c r="F118" s="13" t="str">
        <x:v>Tùy diện</x:v>
      </x:c>
      <x:c r="G118" s="13" t="str">
        <x:v>Sponsor</x:v>
      </x:c>
      <x:c r="H118" s="13" t="str">
        <x:v>Visa Prepare</x:v>
      </x:c>
      <x:c r="I118" s="13" t="str">
        <x:v>HĐLĐ, ĐKKD, thuế, sao kê, tài sản</x:v>
      </x:c>
      <x:c r="J118" s="13" t="str"/>
    </x:row>
    <x:row r="119">
      <x:c r="A119" s="13" t="str">
        <x:v>CHK-ST-0118</x:v>
      </x:c>
      <x:c r="B119" s="13" t="str">
        <x:v>DE-STUDY-VET-BERUF</x:v>
      </x:c>
      <x:c r="C119" s="13" t="str">
        <x:v>Đức</x:v>
      </x:c>
      <x:c r="D119" s="13" t="str">
        <x:v>TRAVEL</x:v>
      </x:c>
      <x:c r="E119" s="13" t="str">
        <x:v>Bảo hiểm, booking, kế hoạch lưu trú</x:v>
      </x:c>
      <x:c r="F119" s="13" t="str">
        <x:v>Tùy diện</x:v>
      </x:c>
      <x:c r="G119" s="13" t="str">
        <x:v>Applicant</x:v>
      </x:c>
      <x:c r="H119" s="13" t="str">
        <x:v>Visa Prepare</x:v>
      </x:c>
      <x:c r="I119" s="13" t="str">
        <x:v>Đặc biệt với Schengen/Visitor study</x:v>
      </x:c>
      <x:c r="J119" s="13" t="str"/>
    </x:row>
    <x:row r="120">
      <x:c r="A120" s="13" t="str">
        <x:v>CHK-ST-0119</x:v>
      </x:c>
      <x:c r="B120" s="13" t="str">
        <x:v>DE-STUDY-VET-BERUF</x:v>
      </x:c>
      <x:c r="C120" s="13" t="str">
        <x:v>Đức</x:v>
      </x:c>
      <x:c r="D120" s="13" t="str">
        <x:v>MEDICAL</x:v>
      </x:c>
      <x:c r="E120" s="13" t="str">
        <x:v>Khám sức khỏe/Lao phổi/Chest X-ray</x:v>
      </x:c>
      <x:c r="F120" s="13" t="str">
        <x:v>Tùy diện</x:v>
      </x:c>
      <x:c r="G120" s="13" t="str">
        <x:v>Applicant</x:v>
      </x:c>
      <x:c r="H120" s="13" t="str">
        <x:v>Medical</x:v>
      </x:c>
      <x:c r="I120" s="13" t="str">
        <x:v>Canada/Úc/NZ/Hàn tùy trường hợp</x:v>
      </x:c>
      <x:c r="J120" s="13" t="str"/>
    </x:row>
    <x:row r="121">
      <x:c r="A121" s="13" t="str">
        <x:v>CHK-ST-0120</x:v>
      </x:c>
      <x:c r="B121" s="13" t="str">
        <x:v>DE-STUDY-VET-BERUF</x:v>
      </x:c>
      <x:c r="C121" s="13" t="str">
        <x:v>Đức</x:v>
      </x:c>
      <x:c r="D121" s="13" t="str">
        <x:v>BIOMETRIC</x:v>
      </x:c>
      <x:c r="E121" s="13" t="str">
        <x:v>Sinh trắc học/Phỏng vấn</x:v>
      </x:c>
      <x:c r="F121" s="13" t="str">
        <x:v>Tùy diện</x:v>
      </x:c>
      <x:c r="G121" s="13" t="str">
        <x:v>Applicant</x:v>
      </x:c>
      <x:c r="H121" s="13" t="str">
        <x:v>Biometrics/Interview</x:v>
      </x:c>
      <x:c r="I121" s="13" t="str">
        <x:v>VAC/VFS/LSQ theo từng nước</x:v>
      </x:c>
      <x:c r="J121" s="13" t="str"/>
    </x:row>
    <x:row r="122">
      <x:c r="A122" s="13" t="str">
        <x:v>CHK-ST-0121</x:v>
      </x:c>
      <x:c r="B122" s="13" t="str">
        <x:v>DE-STUDY-UNI-STUDIUM</x:v>
      </x:c>
      <x:c r="C122" s="13" t="str">
        <x:v>Đức</x:v>
      </x:c>
      <x:c r="D122" s="13" t="str">
        <x:v>PERSONAL</x:v>
      </x:c>
      <x:c r="E122" s="13" t="str">
        <x:v>Hộ chiếu còn hạn</x:v>
      </x:c>
      <x:c r="F122" s="13" t="str">
        <x:v>Bắt buộc</x:v>
      </x:c>
      <x:c r="G122" s="13" t="str">
        <x:v>Applicant</x:v>
      </x:c>
      <x:c r="H122" s="13" t="str">
        <x:v>Intake</x:v>
      </x:c>
      <x:c r="I122" s="13" t="str">
        <x:v>Scan màu đủ trang thông tin và lịch sử visa</x:v>
      </x:c>
      <x:c r="J122" s="13" t="str"/>
    </x:row>
    <x:row r="123">
      <x:c r="A123" s="13" t="str">
        <x:v>CHK-ST-0122</x:v>
      </x:c>
      <x:c r="B123" s="13" t="str">
        <x:v>DE-STUDY-UNI-STUDIUM</x:v>
      </x:c>
      <x:c r="C123" s="13" t="str">
        <x:v>Đức</x:v>
      </x:c>
      <x:c r="D123" s="13" t="str">
        <x:v>PERSONAL</x:v>
      </x:c>
      <x:c r="E123" s="13" t="str">
        <x:v>Ảnh thẻ đúng chuẩn lãnh sự</x:v>
      </x:c>
      <x:c r="F123" s="13" t="str">
        <x:v>Bắt buộc</x:v>
      </x:c>
      <x:c r="G123" s="13" t="str">
        <x:v>Applicant</x:v>
      </x:c>
      <x:c r="H123" s="13" t="str">
        <x:v>Visa Prepare</x:v>
      </x:c>
      <x:c r="I123" s="13" t="str">
        <x:v>Theo kích thước từng quốc gia</x:v>
      </x:c>
      <x:c r="J123" s="13" t="str"/>
    </x:row>
    <x:row r="124">
      <x:c r="A124" s="13" t="str">
        <x:v>CHK-ST-0123</x:v>
      </x:c>
      <x:c r="B124" s="13" t="str">
        <x:v>DE-STUDY-UNI-STUDIUM</x:v>
      </x:c>
      <x:c r="C124" s="13" t="str">
        <x:v>Đức</x:v>
      </x:c>
      <x:c r="D124" s="13" t="str">
        <x:v>ACADEMIC</x:v>
      </x:c>
      <x:c r="E124" s="13" t="str">
        <x:v>Bằng cấp/Bảng điểm gần nhất</x:v>
      </x:c>
      <x:c r="F124" s="13" t="str">
        <x:v>Bắt buộc</x:v>
      </x:c>
      <x:c r="G124" s="13" t="str">
        <x:v>Applicant</x:v>
      </x:c>
      <x:c r="H124" s="13" t="str">
        <x:v>Counselling</x:v>
      </x:c>
      <x:c r="I124" s="13" t="str">
        <x:v>Dịch thuật công chứng nếu cần</x:v>
      </x:c>
      <x:c r="J124" s="13" t="str"/>
    </x:row>
    <x:row r="125">
      <x:c r="A125" s="13" t="str">
        <x:v>CHK-ST-0124</x:v>
      </x:c>
      <x:c r="B125" s="13" t="str">
        <x:v>DE-STUDY-UNI-STUDIUM</x:v>
      </x:c>
      <x:c r="C125" s="13" t="str">
        <x:v>Đức</x:v>
      </x:c>
      <x:c r="D125" s="13" t="str">
        <x:v>ACADEMIC</x:v>
      </x:c>
      <x:c r="E125" s="13" t="str">
        <x:v>Kế hoạch học tập/SOP/Study Plan</x:v>
      </x:c>
      <x:c r="F125" s="13" t="str">
        <x:v>Bắt buộc</x:v>
      </x:c>
      <x:c r="G125" s="13" t="str">
        <x:v>Applicant</x:v>
      </x:c>
      <x:c r="H125" s="13" t="str">
        <x:v>Visa Prepare</x:v>
      </x:c>
      <x:c r="I125" s="13" t="str">
        <x:v>Theo quốc gia: GS/GTE/Study Plan/SOP</x:v>
      </x:c>
      <x:c r="J125" s="13" t="str">
        <x:v>SOP Template</x:v>
      </x:c>
    </x:row>
    <x:row r="126">
      <x:c r="A126" s="13" t="str">
        <x:v>CHK-ST-0125</x:v>
      </x:c>
      <x:c r="B126" s="13" t="str">
        <x:v>DE-STUDY-UNI-STUDIUM</x:v>
      </x:c>
      <x:c r="C126" s="13" t="str">
        <x:v>Đức</x:v>
      </x:c>
      <x:c r="D126" s="13" t="str">
        <x:v>ADMISSION</x:v>
      </x:c>
      <x:c r="E126" s="13" t="str">
        <x:v>Thư mời nhập học/LOA/COE/CAS/I-20</x:v>
      </x:c>
      <x:c r="F126" s="13" t="str">
        <x:v>Bắt buộc</x:v>
      </x:c>
      <x:c r="G126" s="13" t="str">
        <x:v>Applicant</x:v>
      </x:c>
      <x:c r="H126" s="13" t="str">
        <x:v>Offer/LOA</x:v>
      </x:c>
      <x:c r="I126" s="13" t="str">
        <x:v>Tên gọi thay đổi theo quốc gia</x:v>
      </x:c>
      <x:c r="J126" s="13" t="str"/>
    </x:row>
    <x:row r="127">
      <x:c r="A127" s="13" t="str">
        <x:v>CHK-ST-0126</x:v>
      </x:c>
      <x:c r="B127" s="13" t="str">
        <x:v>DE-STUDY-UNI-STUDIUM</x:v>
      </x:c>
      <x:c r="C127" s="13" t="str">
        <x:v>Đức</x:v>
      </x:c>
      <x:c r="D127" s="13" t="str">
        <x:v>FINANCE</x:v>
      </x:c>
      <x:c r="E127" s="13" t="str">
        <x:v>Sổ tiết kiệm/Sao kê/GIC/Blocked Account</x:v>
      </x:c>
      <x:c r="F127" s="13" t="str">
        <x:v>Tùy diện</x:v>
      </x:c>
      <x:c r="G127" s="13" t="str">
        <x:v>Sponsor</x:v>
      </x:c>
      <x:c r="H127" s="13" t="str">
        <x:v>Visa Prepare</x:v>
      </x:c>
      <x:c r="I127" s="13" t="str">
        <x:v>Theo quy định từng nước và từng thời điểm</x:v>
      </x:c>
      <x:c r="J127" s="13" t="str"/>
    </x:row>
    <x:row r="128">
      <x:c r="A128" s="13" t="str">
        <x:v>CHK-ST-0127</x:v>
      </x:c>
      <x:c r="B128" s="13" t="str">
        <x:v>DE-STUDY-UNI-STUDIUM</x:v>
      </x:c>
      <x:c r="C128" s="13" t="str">
        <x:v>Đức</x:v>
      </x:c>
      <x:c r="D128" s="13" t="str">
        <x:v>SPONSOR</x:v>
      </x:c>
      <x:c r="E128" s="13" t="str">
        <x:v>Giấy tờ người bảo lãnh tài chính</x:v>
      </x:c>
      <x:c r="F128" s="13" t="str">
        <x:v>Tùy diện</x:v>
      </x:c>
      <x:c r="G128" s="13" t="str">
        <x:v>Sponsor</x:v>
      </x:c>
      <x:c r="H128" s="13" t="str">
        <x:v>Visa Prepare</x:v>
      </x:c>
      <x:c r="I128" s="13" t="str">
        <x:v>HĐLĐ, ĐKKD, thuế, sao kê, tài sản</x:v>
      </x:c>
      <x:c r="J128" s="13" t="str"/>
    </x:row>
    <x:row r="129">
      <x:c r="A129" s="13" t="str">
        <x:v>CHK-ST-0128</x:v>
      </x:c>
      <x:c r="B129" s="13" t="str">
        <x:v>DE-STUDY-UNI-STUDIUM</x:v>
      </x:c>
      <x:c r="C129" s="13" t="str">
        <x:v>Đức</x:v>
      </x:c>
      <x:c r="D129" s="13" t="str">
        <x:v>TRAVEL</x:v>
      </x:c>
      <x:c r="E129" s="13" t="str">
        <x:v>Bảo hiểm, booking, kế hoạch lưu trú</x:v>
      </x:c>
      <x:c r="F129" s="13" t="str">
        <x:v>Tùy diện</x:v>
      </x:c>
      <x:c r="G129" s="13" t="str">
        <x:v>Applicant</x:v>
      </x:c>
      <x:c r="H129" s="13" t="str">
        <x:v>Visa Prepare</x:v>
      </x:c>
      <x:c r="I129" s="13" t="str">
        <x:v>Đặc biệt với Schengen/Visitor study</x:v>
      </x:c>
      <x:c r="J129" s="13" t="str"/>
    </x:row>
    <x:row r="130">
      <x:c r="A130" s="13" t="str">
        <x:v>CHK-ST-0129</x:v>
      </x:c>
      <x:c r="B130" s="13" t="str">
        <x:v>DE-STUDY-UNI-STUDIUM</x:v>
      </x:c>
      <x:c r="C130" s="13" t="str">
        <x:v>Đức</x:v>
      </x:c>
      <x:c r="D130" s="13" t="str">
        <x:v>MEDICAL</x:v>
      </x:c>
      <x:c r="E130" s="13" t="str">
        <x:v>Khám sức khỏe/Lao phổi/Chest X-ray</x:v>
      </x:c>
      <x:c r="F130" s="13" t="str">
        <x:v>Tùy diện</x:v>
      </x:c>
      <x:c r="G130" s="13" t="str">
        <x:v>Applicant</x:v>
      </x:c>
      <x:c r="H130" s="13" t="str">
        <x:v>Medical</x:v>
      </x:c>
      <x:c r="I130" s="13" t="str">
        <x:v>Canada/Úc/NZ/Hàn tùy trường hợp</x:v>
      </x:c>
      <x:c r="J130" s="13" t="str"/>
    </x:row>
    <x:row r="131">
      <x:c r="A131" s="13" t="str">
        <x:v>CHK-ST-0130</x:v>
      </x:c>
      <x:c r="B131" s="13" t="str">
        <x:v>DE-STUDY-UNI-STUDIUM</x:v>
      </x:c>
      <x:c r="C131" s="13" t="str">
        <x:v>Đức</x:v>
      </x:c>
      <x:c r="D131" s="13" t="str">
        <x:v>BIOMETRIC</x:v>
      </x:c>
      <x:c r="E131" s="13" t="str">
        <x:v>Sinh trắc học/Phỏng vấn</x:v>
      </x:c>
      <x:c r="F131" s="13" t="str">
        <x:v>Tùy diện</x:v>
      </x:c>
      <x:c r="G131" s="13" t="str">
        <x:v>Applicant</x:v>
      </x:c>
      <x:c r="H131" s="13" t="str">
        <x:v>Biometrics/Interview</x:v>
      </x:c>
      <x:c r="I131" s="13" t="str">
        <x:v>VAC/VFS/LSQ theo từng nước</x:v>
      </x:c>
      <x:c r="J131" s="13" t="str"/>
    </x:row>
    <x:row r="132">
      <x:c r="A132" s="13" t="str">
        <x:v>CHK-ST-0131</x:v>
      </x:c>
      <x:c r="B132" s="13" t="str">
        <x:v>DE-STUDY-SOP-KOLLEG</x:v>
      </x:c>
      <x:c r="C132" s="13" t="str">
        <x:v>Đức</x:v>
      </x:c>
      <x:c r="D132" s="13" t="str">
        <x:v>PERSONAL</x:v>
      </x:c>
      <x:c r="E132" s="13" t="str">
        <x:v>Hộ chiếu còn hạn</x:v>
      </x:c>
      <x:c r="F132" s="13" t="str">
        <x:v>Bắt buộc</x:v>
      </x:c>
      <x:c r="G132" s="13" t="str">
        <x:v>Applicant</x:v>
      </x:c>
      <x:c r="H132" s="13" t="str">
        <x:v>Intake</x:v>
      </x:c>
      <x:c r="I132" s="13" t="str">
        <x:v>Scan màu đủ trang thông tin và lịch sử visa</x:v>
      </x:c>
      <x:c r="J132" s="13" t="str"/>
    </x:row>
    <x:row r="133">
      <x:c r="A133" s="13" t="str">
        <x:v>CHK-ST-0132</x:v>
      </x:c>
      <x:c r="B133" s="13" t="str">
        <x:v>DE-STUDY-SOP-KOLLEG</x:v>
      </x:c>
      <x:c r="C133" s="13" t="str">
        <x:v>Đức</x:v>
      </x:c>
      <x:c r="D133" s="13" t="str">
        <x:v>PERSONAL</x:v>
      </x:c>
      <x:c r="E133" s="13" t="str">
        <x:v>Ảnh thẻ đúng chuẩn lãnh sự</x:v>
      </x:c>
      <x:c r="F133" s="13" t="str">
        <x:v>Bắt buộc</x:v>
      </x:c>
      <x:c r="G133" s="13" t="str">
        <x:v>Applicant</x:v>
      </x:c>
      <x:c r="H133" s="13" t="str">
        <x:v>Visa Prepare</x:v>
      </x:c>
      <x:c r="I133" s="13" t="str">
        <x:v>Theo kích thước từng quốc gia</x:v>
      </x:c>
      <x:c r="J133" s="13" t="str"/>
    </x:row>
    <x:row r="134">
      <x:c r="A134" s="13" t="str">
        <x:v>CHK-ST-0133</x:v>
      </x:c>
      <x:c r="B134" s="13" t="str">
        <x:v>DE-STUDY-SOP-KOLLEG</x:v>
      </x:c>
      <x:c r="C134" s="13" t="str">
        <x:v>Đức</x:v>
      </x:c>
      <x:c r="D134" s="13" t="str">
        <x:v>ACADEMIC</x:v>
      </x:c>
      <x:c r="E134" s="13" t="str">
        <x:v>Bằng cấp/Bảng điểm gần nhất</x:v>
      </x:c>
      <x:c r="F134" s="13" t="str">
        <x:v>Bắt buộc</x:v>
      </x:c>
      <x:c r="G134" s="13" t="str">
        <x:v>Applicant</x:v>
      </x:c>
      <x:c r="H134" s="13" t="str">
        <x:v>Counselling</x:v>
      </x:c>
      <x:c r="I134" s="13" t="str">
        <x:v>Dịch thuật công chứng nếu cần</x:v>
      </x:c>
      <x:c r="J134" s="13" t="str"/>
    </x:row>
    <x:row r="135">
      <x:c r="A135" s="13" t="str">
        <x:v>CHK-ST-0134</x:v>
      </x:c>
      <x:c r="B135" s="13" t="str">
        <x:v>DE-STUDY-SOP-KOLLEG</x:v>
      </x:c>
      <x:c r="C135" s="13" t="str">
        <x:v>Đức</x:v>
      </x:c>
      <x:c r="D135" s="13" t="str">
        <x:v>ACADEMIC</x:v>
      </x:c>
      <x:c r="E135" s="13" t="str">
        <x:v>Kế hoạch học tập/SOP/Study Plan</x:v>
      </x:c>
      <x:c r="F135" s="13" t="str">
        <x:v>Bắt buộc</x:v>
      </x:c>
      <x:c r="G135" s="13" t="str">
        <x:v>Applicant</x:v>
      </x:c>
      <x:c r="H135" s="13" t="str">
        <x:v>Visa Prepare</x:v>
      </x:c>
      <x:c r="I135" s="13" t="str">
        <x:v>Theo quốc gia: GS/GTE/Study Plan/SOP</x:v>
      </x:c>
      <x:c r="J135" s="13" t="str">
        <x:v>SOP Template</x:v>
      </x:c>
    </x:row>
    <x:row r="136">
      <x:c r="A136" s="13" t="str">
        <x:v>CHK-ST-0135</x:v>
      </x:c>
      <x:c r="B136" s="13" t="str">
        <x:v>DE-STUDY-SOP-KOLLEG</x:v>
      </x:c>
      <x:c r="C136" s="13" t="str">
        <x:v>Đức</x:v>
      </x:c>
      <x:c r="D136" s="13" t="str">
        <x:v>ADMISSION</x:v>
      </x:c>
      <x:c r="E136" s="13" t="str">
        <x:v>Thư mời nhập học/LOA/COE/CAS/I-20</x:v>
      </x:c>
      <x:c r="F136" s="13" t="str">
        <x:v>Bắt buộc</x:v>
      </x:c>
      <x:c r="G136" s="13" t="str">
        <x:v>Applicant</x:v>
      </x:c>
      <x:c r="H136" s="13" t="str">
        <x:v>Offer/LOA</x:v>
      </x:c>
      <x:c r="I136" s="13" t="str">
        <x:v>Tên gọi thay đổi theo quốc gia</x:v>
      </x:c>
      <x:c r="J136" s="13" t="str"/>
    </x:row>
    <x:row r="137">
      <x:c r="A137" s="13" t="str">
        <x:v>CHK-ST-0136</x:v>
      </x:c>
      <x:c r="B137" s="13" t="str">
        <x:v>DE-STUDY-SOP-KOLLEG</x:v>
      </x:c>
      <x:c r="C137" s="13" t="str">
        <x:v>Đức</x:v>
      </x:c>
      <x:c r="D137" s="13" t="str">
        <x:v>FINANCE</x:v>
      </x:c>
      <x:c r="E137" s="13" t="str">
        <x:v>Sổ tiết kiệm/Sao kê/GIC/Blocked Account</x:v>
      </x:c>
      <x:c r="F137" s="13" t="str">
        <x:v>Tùy diện</x:v>
      </x:c>
      <x:c r="G137" s="13" t="str">
        <x:v>Sponsor</x:v>
      </x:c>
      <x:c r="H137" s="13" t="str">
        <x:v>Visa Prepare</x:v>
      </x:c>
      <x:c r="I137" s="13" t="str">
        <x:v>Theo quy định từng nước và từng thời điểm</x:v>
      </x:c>
      <x:c r="J137" s="13" t="str"/>
    </x:row>
    <x:row r="138">
      <x:c r="A138" s="13" t="str">
        <x:v>CHK-ST-0137</x:v>
      </x:c>
      <x:c r="B138" s="13" t="str">
        <x:v>DE-STUDY-SOP-KOLLEG</x:v>
      </x:c>
      <x:c r="C138" s="13" t="str">
        <x:v>Đức</x:v>
      </x:c>
      <x:c r="D138" s="13" t="str">
        <x:v>SPONSOR</x:v>
      </x:c>
      <x:c r="E138" s="13" t="str">
        <x:v>Giấy tờ người bảo lãnh tài chính</x:v>
      </x:c>
      <x:c r="F138" s="13" t="str">
        <x:v>Tùy diện</x:v>
      </x:c>
      <x:c r="G138" s="13" t="str">
        <x:v>Sponsor</x:v>
      </x:c>
      <x:c r="H138" s="13" t="str">
        <x:v>Visa Prepare</x:v>
      </x:c>
      <x:c r="I138" s="13" t="str">
        <x:v>HĐLĐ, ĐKKD, thuế, sao kê, tài sản</x:v>
      </x:c>
      <x:c r="J138" s="13" t="str"/>
    </x:row>
    <x:row r="139">
      <x:c r="A139" s="13" t="str">
        <x:v>CHK-ST-0138</x:v>
      </x:c>
      <x:c r="B139" s="13" t="str">
        <x:v>DE-STUDY-SOP-KOLLEG</x:v>
      </x:c>
      <x:c r="C139" s="13" t="str">
        <x:v>Đức</x:v>
      </x:c>
      <x:c r="D139" s="13" t="str">
        <x:v>TRAVEL</x:v>
      </x:c>
      <x:c r="E139" s="13" t="str">
        <x:v>Bảo hiểm, booking, kế hoạch lưu trú</x:v>
      </x:c>
      <x:c r="F139" s="13" t="str">
        <x:v>Tùy diện</x:v>
      </x:c>
      <x:c r="G139" s="13" t="str">
        <x:v>Applicant</x:v>
      </x:c>
      <x:c r="H139" s="13" t="str">
        <x:v>Visa Prepare</x:v>
      </x:c>
      <x:c r="I139" s="13" t="str">
        <x:v>Đặc biệt với Schengen/Visitor study</x:v>
      </x:c>
      <x:c r="J139" s="13" t="str"/>
    </x:row>
    <x:row r="140">
      <x:c r="A140" s="13" t="str">
        <x:v>CHK-ST-0139</x:v>
      </x:c>
      <x:c r="B140" s="13" t="str">
        <x:v>DE-STUDY-SOP-KOLLEG</x:v>
      </x:c>
      <x:c r="C140" s="13" t="str">
        <x:v>Đức</x:v>
      </x:c>
      <x:c r="D140" s="13" t="str">
        <x:v>MEDICAL</x:v>
      </x:c>
      <x:c r="E140" s="13" t="str">
        <x:v>Khám sức khỏe/Lao phổi/Chest X-ray</x:v>
      </x:c>
      <x:c r="F140" s="13" t="str">
        <x:v>Tùy diện</x:v>
      </x:c>
      <x:c r="G140" s="13" t="str">
        <x:v>Applicant</x:v>
      </x:c>
      <x:c r="H140" s="13" t="str">
        <x:v>Medical</x:v>
      </x:c>
      <x:c r="I140" s="13" t="str">
        <x:v>Canada/Úc/NZ/Hàn tùy trường hợp</x:v>
      </x:c>
      <x:c r="J140" s="13" t="str"/>
    </x:row>
    <x:row r="141">
      <x:c r="A141" s="13" t="str">
        <x:v>CHK-ST-0140</x:v>
      </x:c>
      <x:c r="B141" s="13" t="str">
        <x:v>DE-STUDY-SOP-KOLLEG</x:v>
      </x:c>
      <x:c r="C141" s="13" t="str">
        <x:v>Đức</x:v>
      </x:c>
      <x:c r="D141" s="13" t="str">
        <x:v>BIOMETRIC</x:v>
      </x:c>
      <x:c r="E141" s="13" t="str">
        <x:v>Sinh trắc học/Phỏng vấn</x:v>
      </x:c>
      <x:c r="F141" s="13" t="str">
        <x:v>Tùy diện</x:v>
      </x:c>
      <x:c r="G141" s="13" t="str">
        <x:v>Applicant</x:v>
      </x:c>
      <x:c r="H141" s="13" t="str">
        <x:v>Biometrics/Interview</x:v>
      </x:c>
      <x:c r="I141" s="13" t="str">
        <x:v>VAC/VFS/LSQ theo từng nước</x:v>
      </x:c>
      <x:c r="J141" s="13" t="str"/>
    </x:row>
    <x:row r="142">
      <x:c r="A142" s="13" t="str">
        <x:v>CHK-ST-0141</x:v>
      </x:c>
      <x:c r="B142" s="13" t="str">
        <x:v>DE-STUDY-LANG-SPRACH</x:v>
      </x:c>
      <x:c r="C142" s="13" t="str">
        <x:v>Đức</x:v>
      </x:c>
      <x:c r="D142" s="13" t="str">
        <x:v>PERSONAL</x:v>
      </x:c>
      <x:c r="E142" s="13" t="str">
        <x:v>Hộ chiếu còn hạn</x:v>
      </x:c>
      <x:c r="F142" s="13" t="str">
        <x:v>Bắt buộc</x:v>
      </x:c>
      <x:c r="G142" s="13" t="str">
        <x:v>Applicant</x:v>
      </x:c>
      <x:c r="H142" s="13" t="str">
        <x:v>Intake</x:v>
      </x:c>
      <x:c r="I142" s="13" t="str">
        <x:v>Scan màu đủ trang thông tin và lịch sử visa</x:v>
      </x:c>
      <x:c r="J142" s="13" t="str"/>
    </x:row>
    <x:row r="143">
      <x:c r="A143" s="13" t="str">
        <x:v>CHK-ST-0142</x:v>
      </x:c>
      <x:c r="B143" s="13" t="str">
        <x:v>DE-STUDY-LANG-SPRACH</x:v>
      </x:c>
      <x:c r="C143" s="13" t="str">
        <x:v>Đức</x:v>
      </x:c>
      <x:c r="D143" s="13" t="str">
        <x:v>PERSONAL</x:v>
      </x:c>
      <x:c r="E143" s="13" t="str">
        <x:v>Ảnh thẻ đúng chuẩn lãnh sự</x:v>
      </x:c>
      <x:c r="F143" s="13" t="str">
        <x:v>Bắt buộc</x:v>
      </x:c>
      <x:c r="G143" s="13" t="str">
        <x:v>Applicant</x:v>
      </x:c>
      <x:c r="H143" s="13" t="str">
        <x:v>Visa Prepare</x:v>
      </x:c>
      <x:c r="I143" s="13" t="str">
        <x:v>Theo kích thước từng quốc gia</x:v>
      </x:c>
      <x:c r="J143" s="13" t="str"/>
    </x:row>
    <x:row r="144">
      <x:c r="A144" s="13" t="str">
        <x:v>CHK-ST-0143</x:v>
      </x:c>
      <x:c r="B144" s="13" t="str">
        <x:v>DE-STUDY-LANG-SPRACH</x:v>
      </x:c>
      <x:c r="C144" s="13" t="str">
        <x:v>Đức</x:v>
      </x:c>
      <x:c r="D144" s="13" t="str">
        <x:v>ACADEMIC</x:v>
      </x:c>
      <x:c r="E144" s="13" t="str">
        <x:v>Bằng cấp/Bảng điểm gần nhất</x:v>
      </x:c>
      <x:c r="F144" s="13" t="str">
        <x:v>Bắt buộc</x:v>
      </x:c>
      <x:c r="G144" s="13" t="str">
        <x:v>Applicant</x:v>
      </x:c>
      <x:c r="H144" s="13" t="str">
        <x:v>Counselling</x:v>
      </x:c>
      <x:c r="I144" s="13" t="str">
        <x:v>Dịch thuật công chứng nếu cần</x:v>
      </x:c>
      <x:c r="J144" s="13" t="str"/>
    </x:row>
    <x:row r="145">
      <x:c r="A145" s="13" t="str">
        <x:v>CHK-ST-0144</x:v>
      </x:c>
      <x:c r="B145" s="13" t="str">
        <x:v>DE-STUDY-LANG-SPRACH</x:v>
      </x:c>
      <x:c r="C145" s="13" t="str">
        <x:v>Đức</x:v>
      </x:c>
      <x:c r="D145" s="13" t="str">
        <x:v>ACADEMIC</x:v>
      </x:c>
      <x:c r="E145" s="13" t="str">
        <x:v>Kế hoạch học tập/SOP/Study Plan</x:v>
      </x:c>
      <x:c r="F145" s="13" t="str">
        <x:v>Bắt buộc</x:v>
      </x:c>
      <x:c r="G145" s="13" t="str">
        <x:v>Applicant</x:v>
      </x:c>
      <x:c r="H145" s="13" t="str">
        <x:v>Visa Prepare</x:v>
      </x:c>
      <x:c r="I145" s="13" t="str">
        <x:v>Theo quốc gia: GS/GTE/Study Plan/SOP</x:v>
      </x:c>
      <x:c r="J145" s="13" t="str">
        <x:v>SOP Template</x:v>
      </x:c>
    </x:row>
    <x:row r="146">
      <x:c r="A146" s="13" t="str">
        <x:v>CHK-ST-0145</x:v>
      </x:c>
      <x:c r="B146" s="13" t="str">
        <x:v>DE-STUDY-LANG-SPRACH</x:v>
      </x:c>
      <x:c r="C146" s="13" t="str">
        <x:v>Đức</x:v>
      </x:c>
      <x:c r="D146" s="13" t="str">
        <x:v>ADMISSION</x:v>
      </x:c>
      <x:c r="E146" s="13" t="str">
        <x:v>Thư mời nhập học/LOA/COE/CAS/I-20</x:v>
      </x:c>
      <x:c r="F146" s="13" t="str">
        <x:v>Bắt buộc</x:v>
      </x:c>
      <x:c r="G146" s="13" t="str">
        <x:v>Applicant</x:v>
      </x:c>
      <x:c r="H146" s="13" t="str">
        <x:v>Offer/LOA</x:v>
      </x:c>
      <x:c r="I146" s="13" t="str">
        <x:v>Tên gọi thay đổi theo quốc gia</x:v>
      </x:c>
      <x:c r="J146" s="13" t="str"/>
    </x:row>
    <x:row r="147">
      <x:c r="A147" s="13" t="str">
        <x:v>CHK-ST-0146</x:v>
      </x:c>
      <x:c r="B147" s="13" t="str">
        <x:v>DE-STUDY-LANG-SPRACH</x:v>
      </x:c>
      <x:c r="C147" s="13" t="str">
        <x:v>Đức</x:v>
      </x:c>
      <x:c r="D147" s="13" t="str">
        <x:v>FINANCE</x:v>
      </x:c>
      <x:c r="E147" s="13" t="str">
        <x:v>Sổ tiết kiệm/Sao kê/GIC/Blocked Account</x:v>
      </x:c>
      <x:c r="F147" s="13" t="str">
        <x:v>Tùy diện</x:v>
      </x:c>
      <x:c r="G147" s="13" t="str">
        <x:v>Sponsor</x:v>
      </x:c>
      <x:c r="H147" s="13" t="str">
        <x:v>Visa Prepare</x:v>
      </x:c>
      <x:c r="I147" s="13" t="str">
        <x:v>Theo quy định từng nước và từng thời điểm</x:v>
      </x:c>
      <x:c r="J147" s="13" t="str"/>
    </x:row>
    <x:row r="148">
      <x:c r="A148" s="13" t="str">
        <x:v>CHK-ST-0147</x:v>
      </x:c>
      <x:c r="B148" s="13" t="str">
        <x:v>DE-STUDY-LANG-SPRACH</x:v>
      </x:c>
      <x:c r="C148" s="13" t="str">
        <x:v>Đức</x:v>
      </x:c>
      <x:c r="D148" s="13" t="str">
        <x:v>SPONSOR</x:v>
      </x:c>
      <x:c r="E148" s="13" t="str">
        <x:v>Giấy tờ người bảo lãnh tài chính</x:v>
      </x:c>
      <x:c r="F148" s="13" t="str">
        <x:v>Tùy diện</x:v>
      </x:c>
      <x:c r="G148" s="13" t="str">
        <x:v>Sponsor</x:v>
      </x:c>
      <x:c r="H148" s="13" t="str">
        <x:v>Visa Prepare</x:v>
      </x:c>
      <x:c r="I148" s="13" t="str">
        <x:v>HĐLĐ, ĐKKD, thuế, sao kê, tài sản</x:v>
      </x:c>
      <x:c r="J148" s="13" t="str"/>
    </x:row>
    <x:row r="149">
      <x:c r="A149" s="13" t="str">
        <x:v>CHK-ST-0148</x:v>
      </x:c>
      <x:c r="B149" s="13" t="str">
        <x:v>DE-STUDY-LANG-SPRACH</x:v>
      </x:c>
      <x:c r="C149" s="13" t="str">
        <x:v>Đức</x:v>
      </x:c>
      <x:c r="D149" s="13" t="str">
        <x:v>TRAVEL</x:v>
      </x:c>
      <x:c r="E149" s="13" t="str">
        <x:v>Bảo hiểm, booking, kế hoạch lưu trú</x:v>
      </x:c>
      <x:c r="F149" s="13" t="str">
        <x:v>Tùy diện</x:v>
      </x:c>
      <x:c r="G149" s="13" t="str">
        <x:v>Applicant</x:v>
      </x:c>
      <x:c r="H149" s="13" t="str">
        <x:v>Visa Prepare</x:v>
      </x:c>
      <x:c r="I149" s="13" t="str">
        <x:v>Đặc biệt với Schengen/Visitor study</x:v>
      </x:c>
      <x:c r="J149" s="13" t="str"/>
    </x:row>
    <x:row r="150">
      <x:c r="A150" s="13" t="str">
        <x:v>CHK-ST-0149</x:v>
      </x:c>
      <x:c r="B150" s="13" t="str">
        <x:v>DE-STUDY-LANG-SPRACH</x:v>
      </x:c>
      <x:c r="C150" s="13" t="str">
        <x:v>Đức</x:v>
      </x:c>
      <x:c r="D150" s="13" t="str">
        <x:v>MEDICAL</x:v>
      </x:c>
      <x:c r="E150" s="13" t="str">
        <x:v>Khám sức khỏe/Lao phổi/Chest X-ray</x:v>
      </x:c>
      <x:c r="F150" s="13" t="str">
        <x:v>Tùy diện</x:v>
      </x:c>
      <x:c r="G150" s="13" t="str">
        <x:v>Applicant</x:v>
      </x:c>
      <x:c r="H150" s="13" t="str">
        <x:v>Medical</x:v>
      </x:c>
      <x:c r="I150" s="13" t="str">
        <x:v>Canada/Úc/NZ/Hàn tùy trường hợp</x:v>
      </x:c>
      <x:c r="J150" s="13" t="str"/>
    </x:row>
    <x:row r="151">
      <x:c r="A151" s="13" t="str">
        <x:v>CHK-ST-0150</x:v>
      </x:c>
      <x:c r="B151" s="13" t="str">
        <x:v>DE-STUDY-LANG-SPRACH</x:v>
      </x:c>
      <x:c r="C151" s="13" t="str">
        <x:v>Đức</x:v>
      </x:c>
      <x:c r="D151" s="13" t="str">
        <x:v>BIOMETRIC</x:v>
      </x:c>
      <x:c r="E151" s="13" t="str">
        <x:v>Sinh trắc học/Phỏng vấn</x:v>
      </x:c>
      <x:c r="F151" s="13" t="str">
        <x:v>Tùy diện</x:v>
      </x:c>
      <x:c r="G151" s="13" t="str">
        <x:v>Applicant</x:v>
      </x:c>
      <x:c r="H151" s="13" t="str">
        <x:v>Biometrics/Interview</x:v>
      </x:c>
      <x:c r="I151" s="13" t="str">
        <x:v>VAC/VFS/LSQ theo từng nước</x:v>
      </x:c>
      <x:c r="J151" s="13" t="str"/>
    </x:row>
    <x:row r="152">
      <x:c r="A152" s="13" t="str">
        <x:v>CHK-ST-0151</x:v>
      </x:c>
      <x:c r="B152" s="13" t="str">
        <x:v>SCH-STUDY-SHORT-C</x:v>
      </x:c>
      <x:c r="C152" s="13" t="str">
        <x:v>Khối Schengen</x:v>
      </x:c>
      <x:c r="D152" s="13" t="str">
        <x:v>PERSONAL</x:v>
      </x:c>
      <x:c r="E152" s="13" t="str">
        <x:v>Hộ chiếu còn hạn</x:v>
      </x:c>
      <x:c r="F152" s="13" t="str">
        <x:v>Bắt buộc</x:v>
      </x:c>
      <x:c r="G152" s="13" t="str">
        <x:v>Applicant</x:v>
      </x:c>
      <x:c r="H152" s="13" t="str">
        <x:v>Intake</x:v>
      </x:c>
      <x:c r="I152" s="13" t="str">
        <x:v>Scan màu đủ trang thông tin và lịch sử visa</x:v>
      </x:c>
      <x:c r="J152" s="13" t="str"/>
    </x:row>
    <x:row r="153">
      <x:c r="A153" s="13" t="str">
        <x:v>CHK-ST-0152</x:v>
      </x:c>
      <x:c r="B153" s="13" t="str">
        <x:v>SCH-STUDY-SHORT-C</x:v>
      </x:c>
      <x:c r="C153" s="13" t="str">
        <x:v>Khối Schengen</x:v>
      </x:c>
      <x:c r="D153" s="13" t="str">
        <x:v>PERSONAL</x:v>
      </x:c>
      <x:c r="E153" s="13" t="str">
        <x:v>Ảnh thẻ đúng chuẩn lãnh sự</x:v>
      </x:c>
      <x:c r="F153" s="13" t="str">
        <x:v>Bắt buộc</x:v>
      </x:c>
      <x:c r="G153" s="13" t="str">
        <x:v>Applicant</x:v>
      </x:c>
      <x:c r="H153" s="13" t="str">
        <x:v>Visa Prepare</x:v>
      </x:c>
      <x:c r="I153" s="13" t="str">
        <x:v>Theo kích thước từng quốc gia</x:v>
      </x:c>
      <x:c r="J153" s="13" t="str"/>
    </x:row>
    <x:row r="154">
      <x:c r="A154" s="13" t="str">
        <x:v>CHK-ST-0153</x:v>
      </x:c>
      <x:c r="B154" s="13" t="str">
        <x:v>SCH-STUDY-SHORT-C</x:v>
      </x:c>
      <x:c r="C154" s="13" t="str">
        <x:v>Khối Schengen</x:v>
      </x:c>
      <x:c r="D154" s="13" t="str">
        <x:v>ACADEMIC</x:v>
      </x:c>
      <x:c r="E154" s="13" t="str">
        <x:v>Bằng cấp/Bảng điểm gần nhất</x:v>
      </x:c>
      <x:c r="F154" s="13" t="str">
        <x:v>Bắt buộc</x:v>
      </x:c>
      <x:c r="G154" s="13" t="str">
        <x:v>Applicant</x:v>
      </x:c>
      <x:c r="H154" s="13" t="str">
        <x:v>Counselling</x:v>
      </x:c>
      <x:c r="I154" s="13" t="str">
        <x:v>Dịch thuật công chứng nếu cần</x:v>
      </x:c>
      <x:c r="J154" s="13" t="str"/>
    </x:row>
    <x:row r="155">
      <x:c r="A155" s="13" t="str">
        <x:v>CHK-ST-0154</x:v>
      </x:c>
      <x:c r="B155" s="13" t="str">
        <x:v>SCH-STUDY-SHORT-C</x:v>
      </x:c>
      <x:c r="C155" s="13" t="str">
        <x:v>Khối Schengen</x:v>
      </x:c>
      <x:c r="D155" s="13" t="str">
        <x:v>ACADEMIC</x:v>
      </x:c>
      <x:c r="E155" s="13" t="str">
        <x:v>Kế hoạch học tập/SOP/Study Plan</x:v>
      </x:c>
      <x:c r="F155" s="13" t="str">
        <x:v>Bắt buộc</x:v>
      </x:c>
      <x:c r="G155" s="13" t="str">
        <x:v>Applicant</x:v>
      </x:c>
      <x:c r="H155" s="13" t="str">
        <x:v>Visa Prepare</x:v>
      </x:c>
      <x:c r="I155" s="13" t="str">
        <x:v>Theo quốc gia: GS/GTE/Study Plan/SOP</x:v>
      </x:c>
      <x:c r="J155" s="13" t="str">
        <x:v>SOP Template</x:v>
      </x:c>
    </x:row>
    <x:row r="156">
      <x:c r="A156" s="13" t="str">
        <x:v>CHK-ST-0155</x:v>
      </x:c>
      <x:c r="B156" s="13" t="str">
        <x:v>SCH-STUDY-SHORT-C</x:v>
      </x:c>
      <x:c r="C156" s="13" t="str">
        <x:v>Khối Schengen</x:v>
      </x:c>
      <x:c r="D156" s="13" t="str">
        <x:v>ADMISSION</x:v>
      </x:c>
      <x:c r="E156" s="13" t="str">
        <x:v>Thư mời nhập học/LOA/COE/CAS/I-20</x:v>
      </x:c>
      <x:c r="F156" s="13" t="str">
        <x:v>Bắt buộc</x:v>
      </x:c>
      <x:c r="G156" s="13" t="str">
        <x:v>Applicant</x:v>
      </x:c>
      <x:c r="H156" s="13" t="str">
        <x:v>Offer/LOA</x:v>
      </x:c>
      <x:c r="I156" s="13" t="str">
        <x:v>Tên gọi thay đổi theo quốc gia</x:v>
      </x:c>
      <x:c r="J156" s="13" t="str"/>
    </x:row>
    <x:row r="157">
      <x:c r="A157" s="13" t="str">
        <x:v>CHK-ST-0156</x:v>
      </x:c>
      <x:c r="B157" s="13" t="str">
        <x:v>SCH-STUDY-SHORT-C</x:v>
      </x:c>
      <x:c r="C157" s="13" t="str">
        <x:v>Khối Schengen</x:v>
      </x:c>
      <x:c r="D157" s="13" t="str">
        <x:v>FINANCE</x:v>
      </x:c>
      <x:c r="E157" s="13" t="str">
        <x:v>Sổ tiết kiệm/Sao kê/GIC/Blocked Account</x:v>
      </x:c>
      <x:c r="F157" s="13" t="str">
        <x:v>Tùy diện</x:v>
      </x:c>
      <x:c r="G157" s="13" t="str">
        <x:v>Sponsor</x:v>
      </x:c>
      <x:c r="H157" s="13" t="str">
        <x:v>Visa Prepare</x:v>
      </x:c>
      <x:c r="I157" s="13" t="str">
        <x:v>Theo quy định từng nước và từng thời điểm</x:v>
      </x:c>
      <x:c r="J157" s="13" t="str"/>
    </x:row>
    <x:row r="158">
      <x:c r="A158" s="13" t="str">
        <x:v>CHK-ST-0157</x:v>
      </x:c>
      <x:c r="B158" s="13" t="str">
        <x:v>SCH-STUDY-SHORT-C</x:v>
      </x:c>
      <x:c r="C158" s="13" t="str">
        <x:v>Khối Schengen</x:v>
      </x:c>
      <x:c r="D158" s="13" t="str">
        <x:v>SPONSOR</x:v>
      </x:c>
      <x:c r="E158" s="13" t="str">
        <x:v>Giấy tờ người bảo lãnh tài chính</x:v>
      </x:c>
      <x:c r="F158" s="13" t="str">
        <x:v>Tùy diện</x:v>
      </x:c>
      <x:c r="G158" s="13" t="str">
        <x:v>Sponsor</x:v>
      </x:c>
      <x:c r="H158" s="13" t="str">
        <x:v>Visa Prepare</x:v>
      </x:c>
      <x:c r="I158" s="13" t="str">
        <x:v>HĐLĐ, ĐKKD, thuế, sao kê, tài sản</x:v>
      </x:c>
      <x:c r="J158" s="13" t="str"/>
    </x:row>
    <x:row r="159">
      <x:c r="A159" s="13" t="str">
        <x:v>CHK-ST-0158</x:v>
      </x:c>
      <x:c r="B159" s="13" t="str">
        <x:v>SCH-STUDY-SHORT-C</x:v>
      </x:c>
      <x:c r="C159" s="13" t="str">
        <x:v>Khối Schengen</x:v>
      </x:c>
      <x:c r="D159" s="13" t="str">
        <x:v>TRAVEL</x:v>
      </x:c>
      <x:c r="E159" s="13" t="str">
        <x:v>Bảo hiểm, booking, kế hoạch lưu trú</x:v>
      </x:c>
      <x:c r="F159" s="13" t="str">
        <x:v>Tùy diện</x:v>
      </x:c>
      <x:c r="G159" s="13" t="str">
        <x:v>Applicant</x:v>
      </x:c>
      <x:c r="H159" s="13" t="str">
        <x:v>Visa Prepare</x:v>
      </x:c>
      <x:c r="I159" s="13" t="str">
        <x:v>Đặc biệt với Schengen/Visitor study</x:v>
      </x:c>
      <x:c r="J159" s="13" t="str"/>
    </x:row>
    <x:row r="160">
      <x:c r="A160" s="13" t="str">
        <x:v>CHK-ST-0159</x:v>
      </x:c>
      <x:c r="B160" s="13" t="str">
        <x:v>SCH-STUDY-SHORT-C</x:v>
      </x:c>
      <x:c r="C160" s="13" t="str">
        <x:v>Khối Schengen</x:v>
      </x:c>
      <x:c r="D160" s="13" t="str">
        <x:v>MEDICAL</x:v>
      </x:c>
      <x:c r="E160" s="13" t="str">
        <x:v>Khám sức khỏe/Lao phổi/Chest X-ray</x:v>
      </x:c>
      <x:c r="F160" s="13" t="str">
        <x:v>Tùy diện</x:v>
      </x:c>
      <x:c r="G160" s="13" t="str">
        <x:v>Applicant</x:v>
      </x:c>
      <x:c r="H160" s="13" t="str">
        <x:v>Medical</x:v>
      </x:c>
      <x:c r="I160" s="13" t="str">
        <x:v>Canada/Úc/NZ/Hàn tùy trường hợp</x:v>
      </x:c>
      <x:c r="J160" s="13" t="str"/>
    </x:row>
    <x:row r="161">
      <x:c r="A161" s="13" t="str">
        <x:v>CHK-ST-0160</x:v>
      </x:c>
      <x:c r="B161" s="13" t="str">
        <x:v>SCH-STUDY-SHORT-C</x:v>
      </x:c>
      <x:c r="C161" s="13" t="str">
        <x:v>Khối Schengen</x:v>
      </x:c>
      <x:c r="D161" s="13" t="str">
        <x:v>BIOMETRIC</x:v>
      </x:c>
      <x:c r="E161" s="13" t="str">
        <x:v>Sinh trắc học/Phỏng vấn</x:v>
      </x:c>
      <x:c r="F161" s="13" t="str">
        <x:v>Tùy diện</x:v>
      </x:c>
      <x:c r="G161" s="13" t="str">
        <x:v>Applicant</x:v>
      </x:c>
      <x:c r="H161" s="13" t="str">
        <x:v>Biometrics/Interview</x:v>
      </x:c>
      <x:c r="I161" s="13" t="str">
        <x:v>VAC/VFS/LSQ theo từng nước</x:v>
      </x:c>
      <x:c r="J161" s="13" t="str"/>
    </x:row>
    <x:row r="162">
      <x:c r="A162" s="13" t="str">
        <x:v>CHK-ST-0161</x:v>
      </x:c>
      <x:c r="B162" s="13" t="str">
        <x:v>SCH-STUDY-LONG-D</x:v>
      </x:c>
      <x:c r="C162" s="13" t="str">
        <x:v>Khối Schengen</x:v>
      </x:c>
      <x:c r="D162" s="13" t="str">
        <x:v>PERSONAL</x:v>
      </x:c>
      <x:c r="E162" s="13" t="str">
        <x:v>Hộ chiếu còn hạn</x:v>
      </x:c>
      <x:c r="F162" s="13" t="str">
        <x:v>Bắt buộc</x:v>
      </x:c>
      <x:c r="G162" s="13" t="str">
        <x:v>Applicant</x:v>
      </x:c>
      <x:c r="H162" s="13" t="str">
        <x:v>Intake</x:v>
      </x:c>
      <x:c r="I162" s="13" t="str">
        <x:v>Scan màu đủ trang thông tin và lịch sử visa</x:v>
      </x:c>
      <x:c r="J162" s="13" t="str"/>
    </x:row>
    <x:row r="163">
      <x:c r="A163" s="13" t="str">
        <x:v>CHK-ST-0162</x:v>
      </x:c>
      <x:c r="B163" s="13" t="str">
        <x:v>SCH-STUDY-LONG-D</x:v>
      </x:c>
      <x:c r="C163" s="13" t="str">
        <x:v>Khối Schengen</x:v>
      </x:c>
      <x:c r="D163" s="13" t="str">
        <x:v>PERSONAL</x:v>
      </x:c>
      <x:c r="E163" s="13" t="str">
        <x:v>Ảnh thẻ đúng chuẩn lãnh sự</x:v>
      </x:c>
      <x:c r="F163" s="13" t="str">
        <x:v>Bắt buộc</x:v>
      </x:c>
      <x:c r="G163" s="13" t="str">
        <x:v>Applicant</x:v>
      </x:c>
      <x:c r="H163" s="13" t="str">
        <x:v>Visa Prepare</x:v>
      </x:c>
      <x:c r="I163" s="13" t="str">
        <x:v>Theo kích thước từng quốc gia</x:v>
      </x:c>
      <x:c r="J163" s="13" t="str"/>
    </x:row>
    <x:row r="164">
      <x:c r="A164" s="13" t="str">
        <x:v>CHK-ST-0163</x:v>
      </x:c>
      <x:c r="B164" s="13" t="str">
        <x:v>SCH-STUDY-LONG-D</x:v>
      </x:c>
      <x:c r="C164" s="13" t="str">
        <x:v>Khối Schengen</x:v>
      </x:c>
      <x:c r="D164" s="13" t="str">
        <x:v>ACADEMIC</x:v>
      </x:c>
      <x:c r="E164" s="13" t="str">
        <x:v>Bằng cấp/Bảng điểm gần nhất</x:v>
      </x:c>
      <x:c r="F164" s="13" t="str">
        <x:v>Bắt buộc</x:v>
      </x:c>
      <x:c r="G164" s="13" t="str">
        <x:v>Applicant</x:v>
      </x:c>
      <x:c r="H164" s="13" t="str">
        <x:v>Counselling</x:v>
      </x:c>
      <x:c r="I164" s="13" t="str">
        <x:v>Dịch thuật công chứng nếu cần</x:v>
      </x:c>
      <x:c r="J164" s="13" t="str"/>
    </x:row>
    <x:row r="165">
      <x:c r="A165" s="13" t="str">
        <x:v>CHK-ST-0164</x:v>
      </x:c>
      <x:c r="B165" s="13" t="str">
        <x:v>SCH-STUDY-LONG-D</x:v>
      </x:c>
      <x:c r="C165" s="13" t="str">
        <x:v>Khối Schengen</x:v>
      </x:c>
      <x:c r="D165" s="13" t="str">
        <x:v>ACADEMIC</x:v>
      </x:c>
      <x:c r="E165" s="13" t="str">
        <x:v>Kế hoạch học tập/SOP/Study Plan</x:v>
      </x:c>
      <x:c r="F165" s="13" t="str">
        <x:v>Bắt buộc</x:v>
      </x:c>
      <x:c r="G165" s="13" t="str">
        <x:v>Applicant</x:v>
      </x:c>
      <x:c r="H165" s="13" t="str">
        <x:v>Visa Prepare</x:v>
      </x:c>
      <x:c r="I165" s="13" t="str">
        <x:v>Theo quốc gia: GS/GTE/Study Plan/SOP</x:v>
      </x:c>
      <x:c r="J165" s="13" t="str">
        <x:v>SOP Template</x:v>
      </x:c>
    </x:row>
    <x:row r="166">
      <x:c r="A166" s="13" t="str">
        <x:v>CHK-ST-0165</x:v>
      </x:c>
      <x:c r="B166" s="13" t="str">
        <x:v>SCH-STUDY-LONG-D</x:v>
      </x:c>
      <x:c r="C166" s="13" t="str">
        <x:v>Khối Schengen</x:v>
      </x:c>
      <x:c r="D166" s="13" t="str">
        <x:v>ADMISSION</x:v>
      </x:c>
      <x:c r="E166" s="13" t="str">
        <x:v>Thư mời nhập học/LOA/COE/CAS/I-20</x:v>
      </x:c>
      <x:c r="F166" s="13" t="str">
        <x:v>Bắt buộc</x:v>
      </x:c>
      <x:c r="G166" s="13" t="str">
        <x:v>Applicant</x:v>
      </x:c>
      <x:c r="H166" s="13" t="str">
        <x:v>Offer/LOA</x:v>
      </x:c>
      <x:c r="I166" s="13" t="str">
        <x:v>Tên gọi thay đổi theo quốc gia</x:v>
      </x:c>
      <x:c r="J166" s="13" t="str"/>
    </x:row>
    <x:row r="167">
      <x:c r="A167" s="13" t="str">
        <x:v>CHK-ST-0166</x:v>
      </x:c>
      <x:c r="B167" s="13" t="str">
        <x:v>SCH-STUDY-LONG-D</x:v>
      </x:c>
      <x:c r="C167" s="13" t="str">
        <x:v>Khối Schengen</x:v>
      </x:c>
      <x:c r="D167" s="13" t="str">
        <x:v>FINANCE</x:v>
      </x:c>
      <x:c r="E167" s="13" t="str">
        <x:v>Sổ tiết kiệm/Sao kê/GIC/Blocked Account</x:v>
      </x:c>
      <x:c r="F167" s="13" t="str">
        <x:v>Tùy diện</x:v>
      </x:c>
      <x:c r="G167" s="13" t="str">
        <x:v>Sponsor</x:v>
      </x:c>
      <x:c r="H167" s="13" t="str">
        <x:v>Visa Prepare</x:v>
      </x:c>
      <x:c r="I167" s="13" t="str">
        <x:v>Theo quy định từng nước và từng thời điểm</x:v>
      </x:c>
      <x:c r="J167" s="13" t="str"/>
    </x:row>
    <x:row r="168">
      <x:c r="A168" s="13" t="str">
        <x:v>CHK-ST-0167</x:v>
      </x:c>
      <x:c r="B168" s="13" t="str">
        <x:v>SCH-STUDY-LONG-D</x:v>
      </x:c>
      <x:c r="C168" s="13" t="str">
        <x:v>Khối Schengen</x:v>
      </x:c>
      <x:c r="D168" s="13" t="str">
        <x:v>SPONSOR</x:v>
      </x:c>
      <x:c r="E168" s="13" t="str">
        <x:v>Giấy tờ người bảo lãnh tài chính</x:v>
      </x:c>
      <x:c r="F168" s="13" t="str">
        <x:v>Tùy diện</x:v>
      </x:c>
      <x:c r="G168" s="13" t="str">
        <x:v>Sponsor</x:v>
      </x:c>
      <x:c r="H168" s="13" t="str">
        <x:v>Visa Prepare</x:v>
      </x:c>
      <x:c r="I168" s="13" t="str">
        <x:v>HĐLĐ, ĐKKD, thuế, sao kê, tài sản</x:v>
      </x:c>
      <x:c r="J168" s="13" t="str"/>
    </x:row>
    <x:row r="169">
      <x:c r="A169" s="13" t="str">
        <x:v>CHK-ST-0168</x:v>
      </x:c>
      <x:c r="B169" s="13" t="str">
        <x:v>SCH-STUDY-LONG-D</x:v>
      </x:c>
      <x:c r="C169" s="13" t="str">
        <x:v>Khối Schengen</x:v>
      </x:c>
      <x:c r="D169" s="13" t="str">
        <x:v>TRAVEL</x:v>
      </x:c>
      <x:c r="E169" s="13" t="str">
        <x:v>Bảo hiểm, booking, kế hoạch lưu trú</x:v>
      </x:c>
      <x:c r="F169" s="13" t="str">
        <x:v>Tùy diện</x:v>
      </x:c>
      <x:c r="G169" s="13" t="str">
        <x:v>Applicant</x:v>
      </x:c>
      <x:c r="H169" s="13" t="str">
        <x:v>Visa Prepare</x:v>
      </x:c>
      <x:c r="I169" s="13" t="str">
        <x:v>Đặc biệt với Schengen/Visitor study</x:v>
      </x:c>
      <x:c r="J169" s="13" t="str"/>
    </x:row>
    <x:row r="170">
      <x:c r="A170" s="13" t="str">
        <x:v>CHK-ST-0169</x:v>
      </x:c>
      <x:c r="B170" s="13" t="str">
        <x:v>SCH-STUDY-LONG-D</x:v>
      </x:c>
      <x:c r="C170" s="13" t="str">
        <x:v>Khối Schengen</x:v>
      </x:c>
      <x:c r="D170" s="13" t="str">
        <x:v>MEDICAL</x:v>
      </x:c>
      <x:c r="E170" s="13" t="str">
        <x:v>Khám sức khỏe/Lao phổi/Chest X-ray</x:v>
      </x:c>
      <x:c r="F170" s="13" t="str">
        <x:v>Tùy diện</x:v>
      </x:c>
      <x:c r="G170" s="13" t="str">
        <x:v>Applicant</x:v>
      </x:c>
      <x:c r="H170" s="13" t="str">
        <x:v>Medical</x:v>
      </x:c>
      <x:c r="I170" s="13" t="str">
        <x:v>Canada/Úc/NZ/Hàn tùy trường hợp</x:v>
      </x:c>
      <x:c r="J170" s="13" t="str"/>
    </x:row>
    <x:row r="171">
      <x:c r="A171" s="13" t="str">
        <x:v>CHK-ST-0170</x:v>
      </x:c>
      <x:c r="B171" s="13" t="str">
        <x:v>SCH-STUDY-LONG-D</x:v>
      </x:c>
      <x:c r="C171" s="13" t="str">
        <x:v>Khối Schengen</x:v>
      </x:c>
      <x:c r="D171" s="13" t="str">
        <x:v>BIOMETRIC</x:v>
      </x:c>
      <x:c r="E171" s="13" t="str">
        <x:v>Sinh trắc học/Phỏng vấn</x:v>
      </x:c>
      <x:c r="F171" s="13" t="str">
        <x:v>Tùy diện</x:v>
      </x:c>
      <x:c r="G171" s="13" t="str">
        <x:v>Applicant</x:v>
      </x:c>
      <x:c r="H171" s="13" t="str">
        <x:v>Biometrics/Interview</x:v>
      </x:c>
      <x:c r="I171" s="13" t="str">
        <x:v>VAC/VFS/LSQ theo từng nước</x:v>
      </x:c>
      <x:c r="J171" s="13" t="str"/>
    </x:row>
    <x:row r="172">
      <x:c r="A172" s="13" t="str">
        <x:v>CHK-ST-0171</x:v>
      </x:c>
      <x:c r="B172" s="13" t="str">
        <x:v>UK-STUDY-STUDENT</x:v>
      </x:c>
      <x:c r="C172" s="13" t="str">
        <x:v>Anh Quốc</x:v>
      </x:c>
      <x:c r="D172" s="13" t="str">
        <x:v>PERSONAL</x:v>
      </x:c>
      <x:c r="E172" s="13" t="str">
        <x:v>Hộ chiếu còn hạn</x:v>
      </x:c>
      <x:c r="F172" s="13" t="str">
        <x:v>Bắt buộc</x:v>
      </x:c>
      <x:c r="G172" s="13" t="str">
        <x:v>Applicant</x:v>
      </x:c>
      <x:c r="H172" s="13" t="str">
        <x:v>Intake</x:v>
      </x:c>
      <x:c r="I172" s="13" t="str">
        <x:v>Scan màu đủ trang thông tin và lịch sử visa</x:v>
      </x:c>
      <x:c r="J172" s="13" t="str"/>
    </x:row>
    <x:row r="173">
      <x:c r="A173" s="13" t="str">
        <x:v>CHK-ST-0172</x:v>
      </x:c>
      <x:c r="B173" s="13" t="str">
        <x:v>UK-STUDY-STUDENT</x:v>
      </x:c>
      <x:c r="C173" s="13" t="str">
        <x:v>Anh Quốc</x:v>
      </x:c>
      <x:c r="D173" s="13" t="str">
        <x:v>PERSONAL</x:v>
      </x:c>
      <x:c r="E173" s="13" t="str">
        <x:v>Ảnh thẻ đúng chuẩn lãnh sự</x:v>
      </x:c>
      <x:c r="F173" s="13" t="str">
        <x:v>Bắt buộc</x:v>
      </x:c>
      <x:c r="G173" s="13" t="str">
        <x:v>Applicant</x:v>
      </x:c>
      <x:c r="H173" s="13" t="str">
        <x:v>Visa Prepare</x:v>
      </x:c>
      <x:c r="I173" s="13" t="str">
        <x:v>Theo kích thước từng quốc gia</x:v>
      </x:c>
      <x:c r="J173" s="13" t="str"/>
    </x:row>
    <x:row r="174">
      <x:c r="A174" s="13" t="str">
        <x:v>CHK-ST-0173</x:v>
      </x:c>
      <x:c r="B174" s="13" t="str">
        <x:v>UK-STUDY-STUDENT</x:v>
      </x:c>
      <x:c r="C174" s="13" t="str">
        <x:v>Anh Quốc</x:v>
      </x:c>
      <x:c r="D174" s="13" t="str">
        <x:v>ACADEMIC</x:v>
      </x:c>
      <x:c r="E174" s="13" t="str">
        <x:v>Bằng cấp/Bảng điểm gần nhất</x:v>
      </x:c>
      <x:c r="F174" s="13" t="str">
        <x:v>Bắt buộc</x:v>
      </x:c>
      <x:c r="G174" s="13" t="str">
        <x:v>Applicant</x:v>
      </x:c>
      <x:c r="H174" s="13" t="str">
        <x:v>Counselling</x:v>
      </x:c>
      <x:c r="I174" s="13" t="str">
        <x:v>Dịch thuật công chứng nếu cần</x:v>
      </x:c>
      <x:c r="J174" s="13" t="str"/>
    </x:row>
    <x:row r="175">
      <x:c r="A175" s="13" t="str">
        <x:v>CHK-ST-0174</x:v>
      </x:c>
      <x:c r="B175" s="13" t="str">
        <x:v>UK-STUDY-STUDENT</x:v>
      </x:c>
      <x:c r="C175" s="13" t="str">
        <x:v>Anh Quốc</x:v>
      </x:c>
      <x:c r="D175" s="13" t="str">
        <x:v>ACADEMIC</x:v>
      </x:c>
      <x:c r="E175" s="13" t="str">
        <x:v>Kế hoạch học tập/SOP/Study Plan</x:v>
      </x:c>
      <x:c r="F175" s="13" t="str">
        <x:v>Bắt buộc</x:v>
      </x:c>
      <x:c r="G175" s="13" t="str">
        <x:v>Applicant</x:v>
      </x:c>
      <x:c r="H175" s="13" t="str">
        <x:v>Visa Prepare</x:v>
      </x:c>
      <x:c r="I175" s="13" t="str">
        <x:v>Theo quốc gia: GS/GTE/Study Plan/SOP</x:v>
      </x:c>
      <x:c r="J175" s="13" t="str">
        <x:v>SOP Template</x:v>
      </x:c>
    </x:row>
    <x:row r="176">
      <x:c r="A176" s="13" t="str">
        <x:v>CHK-ST-0175</x:v>
      </x:c>
      <x:c r="B176" s="13" t="str">
        <x:v>UK-STUDY-STUDENT</x:v>
      </x:c>
      <x:c r="C176" s="13" t="str">
        <x:v>Anh Quốc</x:v>
      </x:c>
      <x:c r="D176" s="13" t="str">
        <x:v>ADMISSION</x:v>
      </x:c>
      <x:c r="E176" s="13" t="str">
        <x:v>Thư mời nhập học/LOA/COE/CAS/I-20</x:v>
      </x:c>
      <x:c r="F176" s="13" t="str">
        <x:v>Bắt buộc</x:v>
      </x:c>
      <x:c r="G176" s="13" t="str">
        <x:v>Applicant</x:v>
      </x:c>
      <x:c r="H176" s="13" t="str">
        <x:v>Offer/LOA</x:v>
      </x:c>
      <x:c r="I176" s="13" t="str">
        <x:v>Tên gọi thay đổi theo quốc gia</x:v>
      </x:c>
      <x:c r="J176" s="13" t="str"/>
    </x:row>
    <x:row r="177">
      <x:c r="A177" s="13" t="str">
        <x:v>CHK-ST-0176</x:v>
      </x:c>
      <x:c r="B177" s="13" t="str">
        <x:v>UK-STUDY-STUDENT</x:v>
      </x:c>
      <x:c r="C177" s="13" t="str">
        <x:v>Anh Quốc</x:v>
      </x:c>
      <x:c r="D177" s="13" t="str">
        <x:v>FINANCE</x:v>
      </x:c>
      <x:c r="E177" s="13" t="str">
        <x:v>Sổ tiết kiệm/Sao kê/GIC/Blocked Account</x:v>
      </x:c>
      <x:c r="F177" s="13" t="str">
        <x:v>Tùy diện</x:v>
      </x:c>
      <x:c r="G177" s="13" t="str">
        <x:v>Sponsor</x:v>
      </x:c>
      <x:c r="H177" s="13" t="str">
        <x:v>Visa Prepare</x:v>
      </x:c>
      <x:c r="I177" s="13" t="str">
        <x:v>Theo quy định từng nước và từng thời điểm</x:v>
      </x:c>
      <x:c r="J177" s="13" t="str"/>
    </x:row>
    <x:row r="178">
      <x:c r="A178" s="13" t="str">
        <x:v>CHK-ST-0177</x:v>
      </x:c>
      <x:c r="B178" s="13" t="str">
        <x:v>UK-STUDY-STUDENT</x:v>
      </x:c>
      <x:c r="C178" s="13" t="str">
        <x:v>Anh Quốc</x:v>
      </x:c>
      <x:c r="D178" s="13" t="str">
        <x:v>SPONSOR</x:v>
      </x:c>
      <x:c r="E178" s="13" t="str">
        <x:v>Giấy tờ người bảo lãnh tài chính</x:v>
      </x:c>
      <x:c r="F178" s="13" t="str">
        <x:v>Tùy diện</x:v>
      </x:c>
      <x:c r="G178" s="13" t="str">
        <x:v>Sponsor</x:v>
      </x:c>
      <x:c r="H178" s="13" t="str">
        <x:v>Visa Prepare</x:v>
      </x:c>
      <x:c r="I178" s="13" t="str">
        <x:v>HĐLĐ, ĐKKD, thuế, sao kê, tài sản</x:v>
      </x:c>
      <x:c r="J178" s="13" t="str"/>
    </x:row>
    <x:row r="179">
      <x:c r="A179" s="13" t="str">
        <x:v>CHK-ST-0178</x:v>
      </x:c>
      <x:c r="B179" s="13" t="str">
        <x:v>UK-STUDY-STUDENT</x:v>
      </x:c>
      <x:c r="C179" s="13" t="str">
        <x:v>Anh Quốc</x:v>
      </x:c>
      <x:c r="D179" s="13" t="str">
        <x:v>TRAVEL</x:v>
      </x:c>
      <x:c r="E179" s="13" t="str">
        <x:v>Bảo hiểm, booking, kế hoạch lưu trú</x:v>
      </x:c>
      <x:c r="F179" s="13" t="str">
        <x:v>Tùy diện</x:v>
      </x:c>
      <x:c r="G179" s="13" t="str">
        <x:v>Applicant</x:v>
      </x:c>
      <x:c r="H179" s="13" t="str">
        <x:v>Visa Prepare</x:v>
      </x:c>
      <x:c r="I179" s="13" t="str">
        <x:v>Đặc biệt với Schengen/Visitor study</x:v>
      </x:c>
      <x:c r="J179" s="13" t="str"/>
    </x:row>
    <x:row r="180">
      <x:c r="A180" s="13" t="str">
        <x:v>CHK-ST-0179</x:v>
      </x:c>
      <x:c r="B180" s="13" t="str">
        <x:v>UK-STUDY-STUDENT</x:v>
      </x:c>
      <x:c r="C180" s="13" t="str">
        <x:v>Anh Quốc</x:v>
      </x:c>
      <x:c r="D180" s="13" t="str">
        <x:v>MEDICAL</x:v>
      </x:c>
      <x:c r="E180" s="13" t="str">
        <x:v>Khám sức khỏe/Lao phổi/Chest X-ray</x:v>
      </x:c>
      <x:c r="F180" s="13" t="str">
        <x:v>Tùy diện</x:v>
      </x:c>
      <x:c r="G180" s="13" t="str">
        <x:v>Applicant</x:v>
      </x:c>
      <x:c r="H180" s="13" t="str">
        <x:v>Medical</x:v>
      </x:c>
      <x:c r="I180" s="13" t="str">
        <x:v>Canada/Úc/NZ/Hàn tùy trường hợp</x:v>
      </x:c>
      <x:c r="J180" s="13" t="str"/>
    </x:row>
    <x:row r="181">
      <x:c r="A181" s="13" t="str">
        <x:v>CHK-ST-0180</x:v>
      </x:c>
      <x:c r="B181" s="13" t="str">
        <x:v>UK-STUDY-STUDENT</x:v>
      </x:c>
      <x:c r="C181" s="13" t="str">
        <x:v>Anh Quốc</x:v>
      </x:c>
      <x:c r="D181" s="13" t="str">
        <x:v>BIOMETRIC</x:v>
      </x:c>
      <x:c r="E181" s="13" t="str">
        <x:v>Sinh trắc học/Phỏng vấn</x:v>
      </x:c>
      <x:c r="F181" s="13" t="str">
        <x:v>Tùy diện</x:v>
      </x:c>
      <x:c r="G181" s="13" t="str">
        <x:v>Applicant</x:v>
      </x:c>
      <x:c r="H181" s="13" t="str">
        <x:v>Biometrics/Interview</x:v>
      </x:c>
      <x:c r="I181" s="13" t="str">
        <x:v>VAC/VFS/LSQ theo từng nước</x:v>
      </x:c>
      <x:c r="J181" s="13" t="str"/>
    </x:row>
    <x:row r="182">
      <x:c r="A182" s="13" t="str">
        <x:v>CHK-ST-0181</x:v>
      </x:c>
      <x:c r="B182" s="13" t="str">
        <x:v>UK-STUDY-CHILD</x:v>
      </x:c>
      <x:c r="C182" s="13" t="str">
        <x:v>Anh Quốc</x:v>
      </x:c>
      <x:c r="D182" s="13" t="str">
        <x:v>PERSONAL</x:v>
      </x:c>
      <x:c r="E182" s="13" t="str">
        <x:v>Hộ chiếu còn hạn</x:v>
      </x:c>
      <x:c r="F182" s="13" t="str">
        <x:v>Bắt buộc</x:v>
      </x:c>
      <x:c r="G182" s="13" t="str">
        <x:v>Applicant</x:v>
      </x:c>
      <x:c r="H182" s="13" t="str">
        <x:v>Intake</x:v>
      </x:c>
      <x:c r="I182" s="13" t="str">
        <x:v>Scan màu đủ trang thông tin và lịch sử visa</x:v>
      </x:c>
      <x:c r="J182" s="13" t="str"/>
    </x:row>
    <x:row r="183">
      <x:c r="A183" s="13" t="str">
        <x:v>CHK-ST-0182</x:v>
      </x:c>
      <x:c r="B183" s="13" t="str">
        <x:v>UK-STUDY-CHILD</x:v>
      </x:c>
      <x:c r="C183" s="13" t="str">
        <x:v>Anh Quốc</x:v>
      </x:c>
      <x:c r="D183" s="13" t="str">
        <x:v>PERSONAL</x:v>
      </x:c>
      <x:c r="E183" s="13" t="str">
        <x:v>Ảnh thẻ đúng chuẩn lãnh sự</x:v>
      </x:c>
      <x:c r="F183" s="13" t="str">
        <x:v>Bắt buộc</x:v>
      </x:c>
      <x:c r="G183" s="13" t="str">
        <x:v>Applicant</x:v>
      </x:c>
      <x:c r="H183" s="13" t="str">
        <x:v>Visa Prepare</x:v>
      </x:c>
      <x:c r="I183" s="13" t="str">
        <x:v>Theo kích thước từng quốc gia</x:v>
      </x:c>
      <x:c r="J183" s="13" t="str"/>
    </x:row>
    <x:row r="184">
      <x:c r="A184" s="13" t="str">
        <x:v>CHK-ST-0183</x:v>
      </x:c>
      <x:c r="B184" s="13" t="str">
        <x:v>UK-STUDY-CHILD</x:v>
      </x:c>
      <x:c r="C184" s="13" t="str">
        <x:v>Anh Quốc</x:v>
      </x:c>
      <x:c r="D184" s="13" t="str">
        <x:v>ACADEMIC</x:v>
      </x:c>
      <x:c r="E184" s="13" t="str">
        <x:v>Bằng cấp/Bảng điểm gần nhất</x:v>
      </x:c>
      <x:c r="F184" s="13" t="str">
        <x:v>Bắt buộc</x:v>
      </x:c>
      <x:c r="G184" s="13" t="str">
        <x:v>Applicant</x:v>
      </x:c>
      <x:c r="H184" s="13" t="str">
        <x:v>Counselling</x:v>
      </x:c>
      <x:c r="I184" s="13" t="str">
        <x:v>Dịch thuật công chứng nếu cần</x:v>
      </x:c>
      <x:c r="J184" s="13" t="str"/>
    </x:row>
    <x:row r="185">
      <x:c r="A185" s="13" t="str">
        <x:v>CHK-ST-0184</x:v>
      </x:c>
      <x:c r="B185" s="13" t="str">
        <x:v>UK-STUDY-CHILD</x:v>
      </x:c>
      <x:c r="C185" s="13" t="str">
        <x:v>Anh Quốc</x:v>
      </x:c>
      <x:c r="D185" s="13" t="str">
        <x:v>ACADEMIC</x:v>
      </x:c>
      <x:c r="E185" s="13" t="str">
        <x:v>Kế hoạch học tập/SOP/Study Plan</x:v>
      </x:c>
      <x:c r="F185" s="13" t="str">
        <x:v>Bắt buộc</x:v>
      </x:c>
      <x:c r="G185" s="13" t="str">
        <x:v>Applicant</x:v>
      </x:c>
      <x:c r="H185" s="13" t="str">
        <x:v>Visa Prepare</x:v>
      </x:c>
      <x:c r="I185" s="13" t="str">
        <x:v>Theo quốc gia: GS/GTE/Study Plan/SOP</x:v>
      </x:c>
      <x:c r="J185" s="13" t="str">
        <x:v>SOP Template</x:v>
      </x:c>
    </x:row>
    <x:row r="186">
      <x:c r="A186" s="13" t="str">
        <x:v>CHK-ST-0185</x:v>
      </x:c>
      <x:c r="B186" s="13" t="str">
        <x:v>UK-STUDY-CHILD</x:v>
      </x:c>
      <x:c r="C186" s="13" t="str">
        <x:v>Anh Quốc</x:v>
      </x:c>
      <x:c r="D186" s="13" t="str">
        <x:v>ADMISSION</x:v>
      </x:c>
      <x:c r="E186" s="13" t="str">
        <x:v>Thư mời nhập học/LOA/COE/CAS/I-20</x:v>
      </x:c>
      <x:c r="F186" s="13" t="str">
        <x:v>Bắt buộc</x:v>
      </x:c>
      <x:c r="G186" s="13" t="str">
        <x:v>Applicant</x:v>
      </x:c>
      <x:c r="H186" s="13" t="str">
        <x:v>Offer/LOA</x:v>
      </x:c>
      <x:c r="I186" s="13" t="str">
        <x:v>Tên gọi thay đổi theo quốc gia</x:v>
      </x:c>
      <x:c r="J186" s="13" t="str"/>
    </x:row>
    <x:row r="187">
      <x:c r="A187" s="13" t="str">
        <x:v>CHK-ST-0186</x:v>
      </x:c>
      <x:c r="B187" s="13" t="str">
        <x:v>UK-STUDY-CHILD</x:v>
      </x:c>
      <x:c r="C187" s="13" t="str">
        <x:v>Anh Quốc</x:v>
      </x:c>
      <x:c r="D187" s="13" t="str">
        <x:v>FINANCE</x:v>
      </x:c>
      <x:c r="E187" s="13" t="str">
        <x:v>Sổ tiết kiệm/Sao kê/GIC/Blocked Account</x:v>
      </x:c>
      <x:c r="F187" s="13" t="str">
        <x:v>Tùy diện</x:v>
      </x:c>
      <x:c r="G187" s="13" t="str">
        <x:v>Sponsor</x:v>
      </x:c>
      <x:c r="H187" s="13" t="str">
        <x:v>Visa Prepare</x:v>
      </x:c>
      <x:c r="I187" s="13" t="str">
        <x:v>Theo quy định từng nước và từng thời điểm</x:v>
      </x:c>
      <x:c r="J187" s="13" t="str"/>
    </x:row>
    <x:row r="188">
      <x:c r="A188" s="13" t="str">
        <x:v>CHK-ST-0187</x:v>
      </x:c>
      <x:c r="B188" s="13" t="str">
        <x:v>UK-STUDY-CHILD</x:v>
      </x:c>
      <x:c r="C188" s="13" t="str">
        <x:v>Anh Quốc</x:v>
      </x:c>
      <x:c r="D188" s="13" t="str">
        <x:v>SPONSOR</x:v>
      </x:c>
      <x:c r="E188" s="13" t="str">
        <x:v>Giấy tờ người bảo lãnh tài chính</x:v>
      </x:c>
      <x:c r="F188" s="13" t="str">
        <x:v>Tùy diện</x:v>
      </x:c>
      <x:c r="G188" s="13" t="str">
        <x:v>Sponsor</x:v>
      </x:c>
      <x:c r="H188" s="13" t="str">
        <x:v>Visa Prepare</x:v>
      </x:c>
      <x:c r="I188" s="13" t="str">
        <x:v>HĐLĐ, ĐKKD, thuế, sao kê, tài sản</x:v>
      </x:c>
      <x:c r="J188" s="13" t="str"/>
    </x:row>
    <x:row r="189">
      <x:c r="A189" s="13" t="str">
        <x:v>CHK-ST-0188</x:v>
      </x:c>
      <x:c r="B189" s="13" t="str">
        <x:v>UK-STUDY-CHILD</x:v>
      </x:c>
      <x:c r="C189" s="13" t="str">
        <x:v>Anh Quốc</x:v>
      </x:c>
      <x:c r="D189" s="13" t="str">
        <x:v>TRAVEL</x:v>
      </x:c>
      <x:c r="E189" s="13" t="str">
        <x:v>Bảo hiểm, booking, kế hoạch lưu trú</x:v>
      </x:c>
      <x:c r="F189" s="13" t="str">
        <x:v>Tùy diện</x:v>
      </x:c>
      <x:c r="G189" s="13" t="str">
        <x:v>Applicant</x:v>
      </x:c>
      <x:c r="H189" s="13" t="str">
        <x:v>Visa Prepare</x:v>
      </x:c>
      <x:c r="I189" s="13" t="str">
        <x:v>Đặc biệt với Schengen/Visitor study</x:v>
      </x:c>
      <x:c r="J189" s="13" t="str"/>
    </x:row>
    <x:row r="190">
      <x:c r="A190" s="13" t="str">
        <x:v>CHK-ST-0189</x:v>
      </x:c>
      <x:c r="B190" s="13" t="str">
        <x:v>UK-STUDY-CHILD</x:v>
      </x:c>
      <x:c r="C190" s="13" t="str">
        <x:v>Anh Quốc</x:v>
      </x:c>
      <x:c r="D190" s="13" t="str">
        <x:v>MEDICAL</x:v>
      </x:c>
      <x:c r="E190" s="13" t="str">
        <x:v>Khám sức khỏe/Lao phổi/Chest X-ray</x:v>
      </x:c>
      <x:c r="F190" s="13" t="str">
        <x:v>Tùy diện</x:v>
      </x:c>
      <x:c r="G190" s="13" t="str">
        <x:v>Applicant</x:v>
      </x:c>
      <x:c r="H190" s="13" t="str">
        <x:v>Medical</x:v>
      </x:c>
      <x:c r="I190" s="13" t="str">
        <x:v>Canada/Úc/NZ/Hàn tùy trường hợp</x:v>
      </x:c>
      <x:c r="J190" s="13" t="str"/>
    </x:row>
    <x:row r="191">
      <x:c r="A191" s="13" t="str">
        <x:v>CHK-ST-0190</x:v>
      </x:c>
      <x:c r="B191" s="13" t="str">
        <x:v>UK-STUDY-CHILD</x:v>
      </x:c>
      <x:c r="C191" s="13" t="str">
        <x:v>Anh Quốc</x:v>
      </x:c>
      <x:c r="D191" s="13" t="str">
        <x:v>BIOMETRIC</x:v>
      </x:c>
      <x:c r="E191" s="13" t="str">
        <x:v>Sinh trắc học/Phỏng vấn</x:v>
      </x:c>
      <x:c r="F191" s="13" t="str">
        <x:v>Tùy diện</x:v>
      </x:c>
      <x:c r="G191" s="13" t="str">
        <x:v>Applicant</x:v>
      </x:c>
      <x:c r="H191" s="13" t="str">
        <x:v>Biometrics/Interview</x:v>
      </x:c>
      <x:c r="I191" s="13" t="str">
        <x:v>VAC/VFS/LSQ theo từng nước</x:v>
      </x:c>
      <x:c r="J191" s="13" t="str"/>
    </x:row>
    <x:row r="192">
      <x:c r="A192" s="13" t="str">
        <x:v>CHK-ST-0191</x:v>
      </x:c>
      <x:c r="B192" s="13" t="str">
        <x:v>UK-STUDY-SHORT-11M</x:v>
      </x:c>
      <x:c r="C192" s="13" t="str">
        <x:v>Anh Quốc</x:v>
      </x:c>
      <x:c r="D192" s="13" t="str">
        <x:v>PERSONAL</x:v>
      </x:c>
      <x:c r="E192" s="13" t="str">
        <x:v>Hộ chiếu còn hạn</x:v>
      </x:c>
      <x:c r="F192" s="13" t="str">
        <x:v>Bắt buộc</x:v>
      </x:c>
      <x:c r="G192" s="13" t="str">
        <x:v>Applicant</x:v>
      </x:c>
      <x:c r="H192" s="13" t="str">
        <x:v>Intake</x:v>
      </x:c>
      <x:c r="I192" s="13" t="str">
        <x:v>Scan màu đủ trang thông tin và lịch sử visa</x:v>
      </x:c>
      <x:c r="J192" s="13" t="str"/>
    </x:row>
    <x:row r="193">
      <x:c r="A193" s="13" t="str">
        <x:v>CHK-ST-0192</x:v>
      </x:c>
      <x:c r="B193" s="13" t="str">
        <x:v>UK-STUDY-SHORT-11M</x:v>
      </x:c>
      <x:c r="C193" s="13" t="str">
        <x:v>Anh Quốc</x:v>
      </x:c>
      <x:c r="D193" s="13" t="str">
        <x:v>PERSONAL</x:v>
      </x:c>
      <x:c r="E193" s="13" t="str">
        <x:v>Ảnh thẻ đúng chuẩn lãnh sự</x:v>
      </x:c>
      <x:c r="F193" s="13" t="str">
        <x:v>Bắt buộc</x:v>
      </x:c>
      <x:c r="G193" s="13" t="str">
        <x:v>Applicant</x:v>
      </x:c>
      <x:c r="H193" s="13" t="str">
        <x:v>Visa Prepare</x:v>
      </x:c>
      <x:c r="I193" s="13" t="str">
        <x:v>Theo kích thước từng quốc gia</x:v>
      </x:c>
      <x:c r="J193" s="13" t="str"/>
    </x:row>
    <x:row r="194">
      <x:c r="A194" s="13" t="str">
        <x:v>CHK-ST-0193</x:v>
      </x:c>
      <x:c r="B194" s="13" t="str">
        <x:v>UK-STUDY-SHORT-11M</x:v>
      </x:c>
      <x:c r="C194" s="13" t="str">
        <x:v>Anh Quốc</x:v>
      </x:c>
      <x:c r="D194" s="13" t="str">
        <x:v>ACADEMIC</x:v>
      </x:c>
      <x:c r="E194" s="13" t="str">
        <x:v>Bằng cấp/Bảng điểm gần nhất</x:v>
      </x:c>
      <x:c r="F194" s="13" t="str">
        <x:v>Bắt buộc</x:v>
      </x:c>
      <x:c r="G194" s="13" t="str">
        <x:v>Applicant</x:v>
      </x:c>
      <x:c r="H194" s="13" t="str">
        <x:v>Counselling</x:v>
      </x:c>
      <x:c r="I194" s="13" t="str">
        <x:v>Dịch thuật công chứng nếu cần</x:v>
      </x:c>
      <x:c r="J194" s="13" t="str"/>
    </x:row>
    <x:row r="195">
      <x:c r="A195" s="13" t="str">
        <x:v>CHK-ST-0194</x:v>
      </x:c>
      <x:c r="B195" s="13" t="str">
        <x:v>UK-STUDY-SHORT-11M</x:v>
      </x:c>
      <x:c r="C195" s="13" t="str">
        <x:v>Anh Quốc</x:v>
      </x:c>
      <x:c r="D195" s="13" t="str">
        <x:v>ACADEMIC</x:v>
      </x:c>
      <x:c r="E195" s="13" t="str">
        <x:v>Kế hoạch học tập/SOP/Study Plan</x:v>
      </x:c>
      <x:c r="F195" s="13" t="str">
        <x:v>Bắt buộc</x:v>
      </x:c>
      <x:c r="G195" s="13" t="str">
        <x:v>Applicant</x:v>
      </x:c>
      <x:c r="H195" s="13" t="str">
        <x:v>Visa Prepare</x:v>
      </x:c>
      <x:c r="I195" s="13" t="str">
        <x:v>Theo quốc gia: GS/GTE/Study Plan/SOP</x:v>
      </x:c>
      <x:c r="J195" s="13" t="str">
        <x:v>SOP Template</x:v>
      </x:c>
    </x:row>
    <x:row r="196">
      <x:c r="A196" s="13" t="str">
        <x:v>CHK-ST-0195</x:v>
      </x:c>
      <x:c r="B196" s="13" t="str">
        <x:v>UK-STUDY-SHORT-11M</x:v>
      </x:c>
      <x:c r="C196" s="13" t="str">
        <x:v>Anh Quốc</x:v>
      </x:c>
      <x:c r="D196" s="13" t="str">
        <x:v>ADMISSION</x:v>
      </x:c>
      <x:c r="E196" s="13" t="str">
        <x:v>Thư mời nhập học/LOA/COE/CAS/I-20</x:v>
      </x:c>
      <x:c r="F196" s="13" t="str">
        <x:v>Bắt buộc</x:v>
      </x:c>
      <x:c r="G196" s="13" t="str">
        <x:v>Applicant</x:v>
      </x:c>
      <x:c r="H196" s="13" t="str">
        <x:v>Offer/LOA</x:v>
      </x:c>
      <x:c r="I196" s="13" t="str">
        <x:v>Tên gọi thay đổi theo quốc gia</x:v>
      </x:c>
      <x:c r="J196" s="13" t="str"/>
    </x:row>
    <x:row r="197">
      <x:c r="A197" s="13" t="str">
        <x:v>CHK-ST-0196</x:v>
      </x:c>
      <x:c r="B197" s="13" t="str">
        <x:v>UK-STUDY-SHORT-11M</x:v>
      </x:c>
      <x:c r="C197" s="13" t="str">
        <x:v>Anh Quốc</x:v>
      </x:c>
      <x:c r="D197" s="13" t="str">
        <x:v>FINANCE</x:v>
      </x:c>
      <x:c r="E197" s="13" t="str">
        <x:v>Sổ tiết kiệm/Sao kê/GIC/Blocked Account</x:v>
      </x:c>
      <x:c r="F197" s="13" t="str">
        <x:v>Tùy diện</x:v>
      </x:c>
      <x:c r="G197" s="13" t="str">
        <x:v>Sponsor</x:v>
      </x:c>
      <x:c r="H197" s="13" t="str">
        <x:v>Visa Prepare</x:v>
      </x:c>
      <x:c r="I197" s="13" t="str">
        <x:v>Theo quy định từng nước và từng thời điểm</x:v>
      </x:c>
      <x:c r="J197" s="13" t="str"/>
    </x:row>
    <x:row r="198">
      <x:c r="A198" s="13" t="str">
        <x:v>CHK-ST-0197</x:v>
      </x:c>
      <x:c r="B198" s="13" t="str">
        <x:v>UK-STUDY-SHORT-11M</x:v>
      </x:c>
      <x:c r="C198" s="13" t="str">
        <x:v>Anh Quốc</x:v>
      </x:c>
      <x:c r="D198" s="13" t="str">
        <x:v>SPONSOR</x:v>
      </x:c>
      <x:c r="E198" s="13" t="str">
        <x:v>Giấy tờ người bảo lãnh tài chính</x:v>
      </x:c>
      <x:c r="F198" s="13" t="str">
        <x:v>Tùy diện</x:v>
      </x:c>
      <x:c r="G198" s="13" t="str">
        <x:v>Sponsor</x:v>
      </x:c>
      <x:c r="H198" s="13" t="str">
        <x:v>Visa Prepare</x:v>
      </x:c>
      <x:c r="I198" s="13" t="str">
        <x:v>HĐLĐ, ĐKKD, thuế, sao kê, tài sản</x:v>
      </x:c>
      <x:c r="J198" s="13" t="str"/>
    </x:row>
    <x:row r="199">
      <x:c r="A199" s="13" t="str">
        <x:v>CHK-ST-0198</x:v>
      </x:c>
      <x:c r="B199" s="13" t="str">
        <x:v>UK-STUDY-SHORT-11M</x:v>
      </x:c>
      <x:c r="C199" s="13" t="str">
        <x:v>Anh Quốc</x:v>
      </x:c>
      <x:c r="D199" s="13" t="str">
        <x:v>TRAVEL</x:v>
      </x:c>
      <x:c r="E199" s="13" t="str">
        <x:v>Bảo hiểm, booking, kế hoạch lưu trú</x:v>
      </x:c>
      <x:c r="F199" s="13" t="str">
        <x:v>Tùy diện</x:v>
      </x:c>
      <x:c r="G199" s="13" t="str">
        <x:v>Applicant</x:v>
      </x:c>
      <x:c r="H199" s="13" t="str">
        <x:v>Visa Prepare</x:v>
      </x:c>
      <x:c r="I199" s="13" t="str">
        <x:v>Đặc biệt với Schengen/Visitor study</x:v>
      </x:c>
      <x:c r="J199" s="13" t="str"/>
    </x:row>
    <x:row r="200">
      <x:c r="A200" s="13" t="str">
        <x:v>CHK-ST-0199</x:v>
      </x:c>
      <x:c r="B200" s="13" t="str">
        <x:v>UK-STUDY-SHORT-11M</x:v>
      </x:c>
      <x:c r="C200" s="13" t="str">
        <x:v>Anh Quốc</x:v>
      </x:c>
      <x:c r="D200" s="13" t="str">
        <x:v>MEDICAL</x:v>
      </x:c>
      <x:c r="E200" s="13" t="str">
        <x:v>Khám sức khỏe/Lao phổi/Chest X-ray</x:v>
      </x:c>
      <x:c r="F200" s="13" t="str">
        <x:v>Tùy diện</x:v>
      </x:c>
      <x:c r="G200" s="13" t="str">
        <x:v>Applicant</x:v>
      </x:c>
      <x:c r="H200" s="13" t="str">
        <x:v>Medical</x:v>
      </x:c>
      <x:c r="I200" s="13" t="str">
        <x:v>Canada/Úc/NZ/Hàn tùy trường hợp</x:v>
      </x:c>
      <x:c r="J200" s="13" t="str"/>
    </x:row>
    <x:row r="201">
      <x:c r="A201" s="13" t="str">
        <x:v>CHK-ST-0200</x:v>
      </x:c>
      <x:c r="B201" s="13" t="str">
        <x:v>UK-STUDY-SHORT-11M</x:v>
      </x:c>
      <x:c r="C201" s="13" t="str">
        <x:v>Anh Quốc</x:v>
      </x:c>
      <x:c r="D201" s="13" t="str">
        <x:v>BIOMETRIC</x:v>
      </x:c>
      <x:c r="E201" s="13" t="str">
        <x:v>Sinh trắc học/Phỏng vấn</x:v>
      </x:c>
      <x:c r="F201" s="13" t="str">
        <x:v>Tùy diện</x:v>
      </x:c>
      <x:c r="G201" s="13" t="str">
        <x:v>Applicant</x:v>
      </x:c>
      <x:c r="H201" s="13" t="str">
        <x:v>Biometrics/Interview</x:v>
      </x:c>
      <x:c r="I201" s="13" t="str">
        <x:v>VAC/VFS/LSQ theo từng nước</x:v>
      </x:c>
      <x:c r="J201" s="13" t="str"/>
    </x:row>
    <x:row r="202">
      <x:c r="A202" s="13" t="str">
        <x:v>CHK-ST-0201</x:v>
      </x:c>
      <x:c r="B202" s="13" t="str">
        <x:v>UK-STUDY-VISITOR-6M</x:v>
      </x:c>
      <x:c r="C202" s="13" t="str">
        <x:v>Anh Quốc</x:v>
      </x:c>
      <x:c r="D202" s="13" t="str">
        <x:v>PERSONAL</x:v>
      </x:c>
      <x:c r="E202" s="13" t="str">
        <x:v>Hộ chiếu còn hạn</x:v>
      </x:c>
      <x:c r="F202" s="13" t="str">
        <x:v>Bắt buộc</x:v>
      </x:c>
      <x:c r="G202" s="13" t="str">
        <x:v>Applicant</x:v>
      </x:c>
      <x:c r="H202" s="13" t="str">
        <x:v>Intake</x:v>
      </x:c>
      <x:c r="I202" s="13" t="str">
        <x:v>Scan màu đủ trang thông tin và lịch sử visa</x:v>
      </x:c>
      <x:c r="J202" s="13" t="str"/>
    </x:row>
    <x:row r="203">
      <x:c r="A203" s="13" t="str">
        <x:v>CHK-ST-0202</x:v>
      </x:c>
      <x:c r="B203" s="13" t="str">
        <x:v>UK-STUDY-VISITOR-6M</x:v>
      </x:c>
      <x:c r="C203" s="13" t="str">
        <x:v>Anh Quốc</x:v>
      </x:c>
      <x:c r="D203" s="13" t="str">
        <x:v>PERSONAL</x:v>
      </x:c>
      <x:c r="E203" s="13" t="str">
        <x:v>Ảnh thẻ đúng chuẩn lãnh sự</x:v>
      </x:c>
      <x:c r="F203" s="13" t="str">
        <x:v>Bắt buộc</x:v>
      </x:c>
      <x:c r="G203" s="13" t="str">
        <x:v>Applicant</x:v>
      </x:c>
      <x:c r="H203" s="13" t="str">
        <x:v>Visa Prepare</x:v>
      </x:c>
      <x:c r="I203" s="13" t="str">
        <x:v>Theo kích thước từng quốc gia</x:v>
      </x:c>
      <x:c r="J203" s="13" t="str"/>
    </x:row>
    <x:row r="204">
      <x:c r="A204" s="13" t="str">
        <x:v>CHK-ST-0203</x:v>
      </x:c>
      <x:c r="B204" s="13" t="str">
        <x:v>UK-STUDY-VISITOR-6M</x:v>
      </x:c>
      <x:c r="C204" s="13" t="str">
        <x:v>Anh Quốc</x:v>
      </x:c>
      <x:c r="D204" s="13" t="str">
        <x:v>ACADEMIC</x:v>
      </x:c>
      <x:c r="E204" s="13" t="str">
        <x:v>Bằng cấp/Bảng điểm gần nhất</x:v>
      </x:c>
      <x:c r="F204" s="13" t="str">
        <x:v>Bắt buộc</x:v>
      </x:c>
      <x:c r="G204" s="13" t="str">
        <x:v>Applicant</x:v>
      </x:c>
      <x:c r="H204" s="13" t="str">
        <x:v>Counselling</x:v>
      </x:c>
      <x:c r="I204" s="13" t="str">
        <x:v>Dịch thuật công chứng nếu cần</x:v>
      </x:c>
      <x:c r="J204" s="13" t="str"/>
    </x:row>
    <x:row r="205">
      <x:c r="A205" s="13" t="str">
        <x:v>CHK-ST-0204</x:v>
      </x:c>
      <x:c r="B205" s="13" t="str">
        <x:v>UK-STUDY-VISITOR-6M</x:v>
      </x:c>
      <x:c r="C205" s="13" t="str">
        <x:v>Anh Quốc</x:v>
      </x:c>
      <x:c r="D205" s="13" t="str">
        <x:v>ACADEMIC</x:v>
      </x:c>
      <x:c r="E205" s="13" t="str">
        <x:v>Kế hoạch học tập/SOP/Study Plan</x:v>
      </x:c>
      <x:c r="F205" s="13" t="str">
        <x:v>Bắt buộc</x:v>
      </x:c>
      <x:c r="G205" s="13" t="str">
        <x:v>Applicant</x:v>
      </x:c>
      <x:c r="H205" s="13" t="str">
        <x:v>Visa Prepare</x:v>
      </x:c>
      <x:c r="I205" s="13" t="str">
        <x:v>Theo quốc gia: GS/GTE/Study Plan/SOP</x:v>
      </x:c>
      <x:c r="J205" s="13" t="str">
        <x:v>SOP Template</x:v>
      </x:c>
    </x:row>
    <x:row r="206">
      <x:c r="A206" s="13" t="str">
        <x:v>CHK-ST-0205</x:v>
      </x:c>
      <x:c r="B206" s="13" t="str">
        <x:v>UK-STUDY-VISITOR-6M</x:v>
      </x:c>
      <x:c r="C206" s="13" t="str">
        <x:v>Anh Quốc</x:v>
      </x:c>
      <x:c r="D206" s="13" t="str">
        <x:v>ADMISSION</x:v>
      </x:c>
      <x:c r="E206" s="13" t="str">
        <x:v>Thư mời nhập học/LOA/COE/CAS/I-20</x:v>
      </x:c>
      <x:c r="F206" s="13" t="str">
        <x:v>Bắt buộc</x:v>
      </x:c>
      <x:c r="G206" s="13" t="str">
        <x:v>Applicant</x:v>
      </x:c>
      <x:c r="H206" s="13" t="str">
        <x:v>Offer/LOA</x:v>
      </x:c>
      <x:c r="I206" s="13" t="str">
        <x:v>Tên gọi thay đổi theo quốc gia</x:v>
      </x:c>
      <x:c r="J206" s="13" t="str"/>
    </x:row>
    <x:row r="207">
      <x:c r="A207" s="13" t="str">
        <x:v>CHK-ST-0206</x:v>
      </x:c>
      <x:c r="B207" s="13" t="str">
        <x:v>UK-STUDY-VISITOR-6M</x:v>
      </x:c>
      <x:c r="C207" s="13" t="str">
        <x:v>Anh Quốc</x:v>
      </x:c>
      <x:c r="D207" s="13" t="str">
        <x:v>FINANCE</x:v>
      </x:c>
      <x:c r="E207" s="13" t="str">
        <x:v>Sổ tiết kiệm/Sao kê/GIC/Blocked Account</x:v>
      </x:c>
      <x:c r="F207" s="13" t="str">
        <x:v>Tùy diện</x:v>
      </x:c>
      <x:c r="G207" s="13" t="str">
        <x:v>Sponsor</x:v>
      </x:c>
      <x:c r="H207" s="13" t="str">
        <x:v>Visa Prepare</x:v>
      </x:c>
      <x:c r="I207" s="13" t="str">
        <x:v>Theo quy định từng nước và từng thời điểm</x:v>
      </x:c>
      <x:c r="J207" s="13" t="str"/>
    </x:row>
    <x:row r="208">
      <x:c r="A208" s="13" t="str">
        <x:v>CHK-ST-0207</x:v>
      </x:c>
      <x:c r="B208" s="13" t="str">
        <x:v>UK-STUDY-VISITOR-6M</x:v>
      </x:c>
      <x:c r="C208" s="13" t="str">
        <x:v>Anh Quốc</x:v>
      </x:c>
      <x:c r="D208" s="13" t="str">
        <x:v>SPONSOR</x:v>
      </x:c>
      <x:c r="E208" s="13" t="str">
        <x:v>Giấy tờ người bảo lãnh tài chính</x:v>
      </x:c>
      <x:c r="F208" s="13" t="str">
        <x:v>Tùy diện</x:v>
      </x:c>
      <x:c r="G208" s="13" t="str">
        <x:v>Sponsor</x:v>
      </x:c>
      <x:c r="H208" s="13" t="str">
        <x:v>Visa Prepare</x:v>
      </x:c>
      <x:c r="I208" s="13" t="str">
        <x:v>HĐLĐ, ĐKKD, thuế, sao kê, tài sản</x:v>
      </x:c>
      <x:c r="J208" s="13" t="str"/>
    </x:row>
    <x:row r="209">
      <x:c r="A209" s="13" t="str">
        <x:v>CHK-ST-0208</x:v>
      </x:c>
      <x:c r="B209" s="13" t="str">
        <x:v>UK-STUDY-VISITOR-6M</x:v>
      </x:c>
      <x:c r="C209" s="13" t="str">
        <x:v>Anh Quốc</x:v>
      </x:c>
      <x:c r="D209" s="13" t="str">
        <x:v>TRAVEL</x:v>
      </x:c>
      <x:c r="E209" s="13" t="str">
        <x:v>Bảo hiểm, booking, kế hoạch lưu trú</x:v>
      </x:c>
      <x:c r="F209" s="13" t="str">
        <x:v>Tùy diện</x:v>
      </x:c>
      <x:c r="G209" s="13" t="str">
        <x:v>Applicant</x:v>
      </x:c>
      <x:c r="H209" s="13" t="str">
        <x:v>Visa Prepare</x:v>
      </x:c>
      <x:c r="I209" s="13" t="str">
        <x:v>Đặc biệt với Schengen/Visitor study</x:v>
      </x:c>
      <x:c r="J209" s="13" t="str"/>
    </x:row>
    <x:row r="210">
      <x:c r="A210" s="13" t="str">
        <x:v>CHK-ST-0209</x:v>
      </x:c>
      <x:c r="B210" s="13" t="str">
        <x:v>UK-STUDY-VISITOR-6M</x:v>
      </x:c>
      <x:c r="C210" s="13" t="str">
        <x:v>Anh Quốc</x:v>
      </x:c>
      <x:c r="D210" s="13" t="str">
        <x:v>MEDICAL</x:v>
      </x:c>
      <x:c r="E210" s="13" t="str">
        <x:v>Khám sức khỏe/Lao phổi/Chest X-ray</x:v>
      </x:c>
      <x:c r="F210" s="13" t="str">
        <x:v>Tùy diện</x:v>
      </x:c>
      <x:c r="G210" s="13" t="str">
        <x:v>Applicant</x:v>
      </x:c>
      <x:c r="H210" s="13" t="str">
        <x:v>Medical</x:v>
      </x:c>
      <x:c r="I210" s="13" t="str">
        <x:v>Canada/Úc/NZ/Hàn tùy trường hợp</x:v>
      </x:c>
      <x:c r="J210" s="13" t="str"/>
    </x:row>
    <x:row r="211">
      <x:c r="A211" s="13" t="str">
        <x:v>CHK-ST-0210</x:v>
      </x:c>
      <x:c r="B211" s="13" t="str">
        <x:v>UK-STUDY-VISITOR-6M</x:v>
      </x:c>
      <x:c r="C211" s="13" t="str">
        <x:v>Anh Quốc</x:v>
      </x:c>
      <x:c r="D211" s="13" t="str">
        <x:v>BIOMETRIC</x:v>
      </x:c>
      <x:c r="E211" s="13" t="str">
        <x:v>Sinh trắc học/Phỏng vấn</x:v>
      </x:c>
      <x:c r="F211" s="13" t="str">
        <x:v>Tùy diện</x:v>
      </x:c>
      <x:c r="G211" s="13" t="str">
        <x:v>Applicant</x:v>
      </x:c>
      <x:c r="H211" s="13" t="str">
        <x:v>Biometrics/Interview</x:v>
      </x:c>
      <x:c r="I211" s="13" t="str">
        <x:v>VAC/VFS/LSQ theo từng nước</x:v>
      </x:c>
      <x:c r="J211" s="13" t="str"/>
    </x:row>
    <x:row r="212">
      <x:c r="A212" s="13" t="str">
        <x:v>CHK-ST-0211</x:v>
      </x:c>
      <x:c r="B212" s="13" t="str">
        <x:v>US-STUDY-F1-ACADEMIC</x:v>
      </x:c>
      <x:c r="C212" s="13" t="str">
        <x:v>Mỹ</x:v>
      </x:c>
      <x:c r="D212" s="13" t="str">
        <x:v>PERSONAL</x:v>
      </x:c>
      <x:c r="E212" s="13" t="str">
        <x:v>Hộ chiếu còn hạn</x:v>
      </x:c>
      <x:c r="F212" s="13" t="str">
        <x:v>Bắt buộc</x:v>
      </x:c>
      <x:c r="G212" s="13" t="str">
        <x:v>Applicant</x:v>
      </x:c>
      <x:c r="H212" s="13" t="str">
        <x:v>Intake</x:v>
      </x:c>
      <x:c r="I212" s="13" t="str">
        <x:v>Scan màu đủ trang thông tin và lịch sử visa</x:v>
      </x:c>
      <x:c r="J212" s="13" t="str"/>
    </x:row>
    <x:row r="213">
      <x:c r="A213" s="13" t="str">
        <x:v>CHK-ST-0212</x:v>
      </x:c>
      <x:c r="B213" s="13" t="str">
        <x:v>US-STUDY-F1-ACADEMIC</x:v>
      </x:c>
      <x:c r="C213" s="13" t="str">
        <x:v>Mỹ</x:v>
      </x:c>
      <x:c r="D213" s="13" t="str">
        <x:v>PERSONAL</x:v>
      </x:c>
      <x:c r="E213" s="13" t="str">
        <x:v>Ảnh thẻ đúng chuẩn lãnh sự</x:v>
      </x:c>
      <x:c r="F213" s="13" t="str">
        <x:v>Bắt buộc</x:v>
      </x:c>
      <x:c r="G213" s="13" t="str">
        <x:v>Applicant</x:v>
      </x:c>
      <x:c r="H213" s="13" t="str">
        <x:v>Visa Prepare</x:v>
      </x:c>
      <x:c r="I213" s="13" t="str">
        <x:v>Theo kích thước từng quốc gia</x:v>
      </x:c>
      <x:c r="J213" s="13" t="str"/>
    </x:row>
    <x:row r="214">
      <x:c r="A214" s="13" t="str">
        <x:v>CHK-ST-0213</x:v>
      </x:c>
      <x:c r="B214" s="13" t="str">
        <x:v>US-STUDY-F1-ACADEMIC</x:v>
      </x:c>
      <x:c r="C214" s="13" t="str">
        <x:v>Mỹ</x:v>
      </x:c>
      <x:c r="D214" s="13" t="str">
        <x:v>ACADEMIC</x:v>
      </x:c>
      <x:c r="E214" s="13" t="str">
        <x:v>Bằng cấp/Bảng điểm gần nhất</x:v>
      </x:c>
      <x:c r="F214" s="13" t="str">
        <x:v>Bắt buộc</x:v>
      </x:c>
      <x:c r="G214" s="13" t="str">
        <x:v>Applicant</x:v>
      </x:c>
      <x:c r="H214" s="13" t="str">
        <x:v>Counselling</x:v>
      </x:c>
      <x:c r="I214" s="13" t="str">
        <x:v>Dịch thuật công chứng nếu cần</x:v>
      </x:c>
      <x:c r="J214" s="13" t="str"/>
    </x:row>
    <x:row r="215">
      <x:c r="A215" s="13" t="str">
        <x:v>CHK-ST-0214</x:v>
      </x:c>
      <x:c r="B215" s="13" t="str">
        <x:v>US-STUDY-F1-ACADEMIC</x:v>
      </x:c>
      <x:c r="C215" s="13" t="str">
        <x:v>Mỹ</x:v>
      </x:c>
      <x:c r="D215" s="13" t="str">
        <x:v>ACADEMIC</x:v>
      </x:c>
      <x:c r="E215" s="13" t="str">
        <x:v>Kế hoạch học tập/SOP/Study Plan</x:v>
      </x:c>
      <x:c r="F215" s="13" t="str">
        <x:v>Bắt buộc</x:v>
      </x:c>
      <x:c r="G215" s="13" t="str">
        <x:v>Applicant</x:v>
      </x:c>
      <x:c r="H215" s="13" t="str">
        <x:v>Visa Prepare</x:v>
      </x:c>
      <x:c r="I215" s="13" t="str">
        <x:v>Theo quốc gia: GS/GTE/Study Plan/SOP</x:v>
      </x:c>
      <x:c r="J215" s="13" t="str">
        <x:v>SOP Template</x:v>
      </x:c>
    </x:row>
    <x:row r="216">
      <x:c r="A216" s="13" t="str">
        <x:v>CHK-ST-0215</x:v>
      </x:c>
      <x:c r="B216" s="13" t="str">
        <x:v>US-STUDY-F1-ACADEMIC</x:v>
      </x:c>
      <x:c r="C216" s="13" t="str">
        <x:v>Mỹ</x:v>
      </x:c>
      <x:c r="D216" s="13" t="str">
        <x:v>ADMISSION</x:v>
      </x:c>
      <x:c r="E216" s="13" t="str">
        <x:v>Thư mời nhập học/LOA/COE/CAS/I-20</x:v>
      </x:c>
      <x:c r="F216" s="13" t="str">
        <x:v>Bắt buộc</x:v>
      </x:c>
      <x:c r="G216" s="13" t="str">
        <x:v>Applicant</x:v>
      </x:c>
      <x:c r="H216" s="13" t="str">
        <x:v>Offer/LOA</x:v>
      </x:c>
      <x:c r="I216" s="13" t="str">
        <x:v>Tên gọi thay đổi theo quốc gia</x:v>
      </x:c>
      <x:c r="J216" s="13" t="str"/>
    </x:row>
    <x:row r="217">
      <x:c r="A217" s="13" t="str">
        <x:v>CHK-ST-0216</x:v>
      </x:c>
      <x:c r="B217" s="13" t="str">
        <x:v>US-STUDY-F1-ACADEMIC</x:v>
      </x:c>
      <x:c r="C217" s="13" t="str">
        <x:v>Mỹ</x:v>
      </x:c>
      <x:c r="D217" s="13" t="str">
        <x:v>FINANCE</x:v>
      </x:c>
      <x:c r="E217" s="13" t="str">
        <x:v>Sổ tiết kiệm/Sao kê/GIC/Blocked Account</x:v>
      </x:c>
      <x:c r="F217" s="13" t="str">
        <x:v>Tùy diện</x:v>
      </x:c>
      <x:c r="G217" s="13" t="str">
        <x:v>Sponsor</x:v>
      </x:c>
      <x:c r="H217" s="13" t="str">
        <x:v>Visa Prepare</x:v>
      </x:c>
      <x:c r="I217" s="13" t="str">
        <x:v>Theo quy định từng nước và từng thời điểm</x:v>
      </x:c>
      <x:c r="J217" s="13" t="str"/>
    </x:row>
    <x:row r="218">
      <x:c r="A218" s="13" t="str">
        <x:v>CHK-ST-0217</x:v>
      </x:c>
      <x:c r="B218" s="13" t="str">
        <x:v>US-STUDY-F1-ACADEMIC</x:v>
      </x:c>
      <x:c r="C218" s="13" t="str">
        <x:v>Mỹ</x:v>
      </x:c>
      <x:c r="D218" s="13" t="str">
        <x:v>SPONSOR</x:v>
      </x:c>
      <x:c r="E218" s="13" t="str">
        <x:v>Giấy tờ người bảo lãnh tài chính</x:v>
      </x:c>
      <x:c r="F218" s="13" t="str">
        <x:v>Tùy diện</x:v>
      </x:c>
      <x:c r="G218" s="13" t="str">
        <x:v>Sponsor</x:v>
      </x:c>
      <x:c r="H218" s="13" t="str">
        <x:v>Visa Prepare</x:v>
      </x:c>
      <x:c r="I218" s="13" t="str">
        <x:v>HĐLĐ, ĐKKD, thuế, sao kê, tài sản</x:v>
      </x:c>
      <x:c r="J218" s="13" t="str"/>
    </x:row>
    <x:row r="219">
      <x:c r="A219" s="13" t="str">
        <x:v>CHK-ST-0218</x:v>
      </x:c>
      <x:c r="B219" s="13" t="str">
        <x:v>US-STUDY-F1-ACADEMIC</x:v>
      </x:c>
      <x:c r="C219" s="13" t="str">
        <x:v>Mỹ</x:v>
      </x:c>
      <x:c r="D219" s="13" t="str">
        <x:v>TRAVEL</x:v>
      </x:c>
      <x:c r="E219" s="13" t="str">
        <x:v>Bảo hiểm, booking, kế hoạch lưu trú</x:v>
      </x:c>
      <x:c r="F219" s="13" t="str">
        <x:v>Tùy diện</x:v>
      </x:c>
      <x:c r="G219" s="13" t="str">
        <x:v>Applicant</x:v>
      </x:c>
      <x:c r="H219" s="13" t="str">
        <x:v>Visa Prepare</x:v>
      </x:c>
      <x:c r="I219" s="13" t="str">
        <x:v>Đặc biệt với Schengen/Visitor study</x:v>
      </x:c>
      <x:c r="J219" s="13" t="str"/>
    </x:row>
    <x:row r="220">
      <x:c r="A220" s="13" t="str">
        <x:v>CHK-ST-0219</x:v>
      </x:c>
      <x:c r="B220" s="13" t="str">
        <x:v>US-STUDY-F1-ACADEMIC</x:v>
      </x:c>
      <x:c r="C220" s="13" t="str">
        <x:v>Mỹ</x:v>
      </x:c>
      <x:c r="D220" s="13" t="str">
        <x:v>MEDICAL</x:v>
      </x:c>
      <x:c r="E220" s="13" t="str">
        <x:v>Khám sức khỏe/Lao phổi/Chest X-ray</x:v>
      </x:c>
      <x:c r="F220" s="13" t="str">
        <x:v>Tùy diện</x:v>
      </x:c>
      <x:c r="G220" s="13" t="str">
        <x:v>Applicant</x:v>
      </x:c>
      <x:c r="H220" s="13" t="str">
        <x:v>Medical</x:v>
      </x:c>
      <x:c r="I220" s="13" t="str">
        <x:v>Canada/Úc/NZ/Hàn tùy trường hợp</x:v>
      </x:c>
      <x:c r="J220" s="13" t="str"/>
    </x:row>
    <x:row r="221">
      <x:c r="A221" s="13" t="str">
        <x:v>CHK-ST-0220</x:v>
      </x:c>
      <x:c r="B221" s="13" t="str">
        <x:v>US-STUDY-F1-ACADEMIC</x:v>
      </x:c>
      <x:c r="C221" s="13" t="str">
        <x:v>Mỹ</x:v>
      </x:c>
      <x:c r="D221" s="13" t="str">
        <x:v>BIOMETRIC</x:v>
      </x:c>
      <x:c r="E221" s="13" t="str">
        <x:v>Sinh trắc học/Phỏng vấn</x:v>
      </x:c>
      <x:c r="F221" s="13" t="str">
        <x:v>Tùy diện</x:v>
      </x:c>
      <x:c r="G221" s="13" t="str">
        <x:v>Applicant</x:v>
      </x:c>
      <x:c r="H221" s="13" t="str">
        <x:v>Biometrics/Interview</x:v>
      </x:c>
      <x:c r="I221" s="13" t="str">
        <x:v>VAC/VFS/LSQ theo từng nước</x:v>
      </x:c>
      <x:c r="J221" s="13" t="str"/>
    </x:row>
    <x:row r="222">
      <x:c r="A222" s="13" t="str">
        <x:v>CHK-ST-0221</x:v>
      </x:c>
      <x:c r="B222" s="13" t="str">
        <x:v>US-STUDY-M1-VOCATIONAL</x:v>
      </x:c>
      <x:c r="C222" s="13" t="str">
        <x:v>Mỹ</x:v>
      </x:c>
      <x:c r="D222" s="13" t="str">
        <x:v>PERSONAL</x:v>
      </x:c>
      <x:c r="E222" s="13" t="str">
        <x:v>Hộ chiếu còn hạn</x:v>
      </x:c>
      <x:c r="F222" s="13" t="str">
        <x:v>Bắt buộc</x:v>
      </x:c>
      <x:c r="G222" s="13" t="str">
        <x:v>Applicant</x:v>
      </x:c>
      <x:c r="H222" s="13" t="str">
        <x:v>Intake</x:v>
      </x:c>
      <x:c r="I222" s="13" t="str">
        <x:v>Scan màu đủ trang thông tin và lịch sử visa</x:v>
      </x:c>
      <x:c r="J222" s="13" t="str"/>
    </x:row>
    <x:row r="223">
      <x:c r="A223" s="13" t="str">
        <x:v>CHK-ST-0222</x:v>
      </x:c>
      <x:c r="B223" s="13" t="str">
        <x:v>US-STUDY-M1-VOCATIONAL</x:v>
      </x:c>
      <x:c r="C223" s="13" t="str">
        <x:v>Mỹ</x:v>
      </x:c>
      <x:c r="D223" s="13" t="str">
        <x:v>PERSONAL</x:v>
      </x:c>
      <x:c r="E223" s="13" t="str">
        <x:v>Ảnh thẻ đúng chuẩn lãnh sự</x:v>
      </x:c>
      <x:c r="F223" s="13" t="str">
        <x:v>Bắt buộc</x:v>
      </x:c>
      <x:c r="G223" s="13" t="str">
        <x:v>Applicant</x:v>
      </x:c>
      <x:c r="H223" s="13" t="str">
        <x:v>Visa Prepare</x:v>
      </x:c>
      <x:c r="I223" s="13" t="str">
        <x:v>Theo kích thước từng quốc gia</x:v>
      </x:c>
      <x:c r="J223" s="13" t="str"/>
    </x:row>
    <x:row r="224">
      <x:c r="A224" s="13" t="str">
        <x:v>CHK-ST-0223</x:v>
      </x:c>
      <x:c r="B224" s="13" t="str">
        <x:v>US-STUDY-M1-VOCATIONAL</x:v>
      </x:c>
      <x:c r="C224" s="13" t="str">
        <x:v>Mỹ</x:v>
      </x:c>
      <x:c r="D224" s="13" t="str">
        <x:v>ACADEMIC</x:v>
      </x:c>
      <x:c r="E224" s="13" t="str">
        <x:v>Bằng cấp/Bảng điểm gần nhất</x:v>
      </x:c>
      <x:c r="F224" s="13" t="str">
        <x:v>Bắt buộc</x:v>
      </x:c>
      <x:c r="G224" s="13" t="str">
        <x:v>Applicant</x:v>
      </x:c>
      <x:c r="H224" s="13" t="str">
        <x:v>Counselling</x:v>
      </x:c>
      <x:c r="I224" s="13" t="str">
        <x:v>Dịch thuật công chứng nếu cần</x:v>
      </x:c>
      <x:c r="J224" s="13" t="str"/>
    </x:row>
    <x:row r="225">
      <x:c r="A225" s="13" t="str">
        <x:v>CHK-ST-0224</x:v>
      </x:c>
      <x:c r="B225" s="13" t="str">
        <x:v>US-STUDY-M1-VOCATIONAL</x:v>
      </x:c>
      <x:c r="C225" s="13" t="str">
        <x:v>Mỹ</x:v>
      </x:c>
      <x:c r="D225" s="13" t="str">
        <x:v>ACADEMIC</x:v>
      </x:c>
      <x:c r="E225" s="13" t="str">
        <x:v>Kế hoạch học tập/SOP/Study Plan</x:v>
      </x:c>
      <x:c r="F225" s="13" t="str">
        <x:v>Bắt buộc</x:v>
      </x:c>
      <x:c r="G225" s="13" t="str">
        <x:v>Applicant</x:v>
      </x:c>
      <x:c r="H225" s="13" t="str">
        <x:v>Visa Prepare</x:v>
      </x:c>
      <x:c r="I225" s="13" t="str">
        <x:v>Theo quốc gia: GS/GTE/Study Plan/SOP</x:v>
      </x:c>
      <x:c r="J225" s="13" t="str">
        <x:v>SOP Template</x:v>
      </x:c>
    </x:row>
    <x:row r="226">
      <x:c r="A226" s="13" t="str">
        <x:v>CHK-ST-0225</x:v>
      </x:c>
      <x:c r="B226" s="13" t="str">
        <x:v>US-STUDY-M1-VOCATIONAL</x:v>
      </x:c>
      <x:c r="C226" s="13" t="str">
        <x:v>Mỹ</x:v>
      </x:c>
      <x:c r="D226" s="13" t="str">
        <x:v>ADMISSION</x:v>
      </x:c>
      <x:c r="E226" s="13" t="str">
        <x:v>Thư mời nhập học/LOA/COE/CAS/I-20</x:v>
      </x:c>
      <x:c r="F226" s="13" t="str">
        <x:v>Bắt buộc</x:v>
      </x:c>
      <x:c r="G226" s="13" t="str">
        <x:v>Applicant</x:v>
      </x:c>
      <x:c r="H226" s="13" t="str">
        <x:v>Offer/LOA</x:v>
      </x:c>
      <x:c r="I226" s="13" t="str">
        <x:v>Tên gọi thay đổi theo quốc gia</x:v>
      </x:c>
      <x:c r="J226" s="13" t="str"/>
    </x:row>
    <x:row r="227">
      <x:c r="A227" s="13" t="str">
        <x:v>CHK-ST-0226</x:v>
      </x:c>
      <x:c r="B227" s="13" t="str">
        <x:v>US-STUDY-M1-VOCATIONAL</x:v>
      </x:c>
      <x:c r="C227" s="13" t="str">
        <x:v>Mỹ</x:v>
      </x:c>
      <x:c r="D227" s="13" t="str">
        <x:v>FINANCE</x:v>
      </x:c>
      <x:c r="E227" s="13" t="str">
        <x:v>Sổ tiết kiệm/Sao kê/GIC/Blocked Account</x:v>
      </x:c>
      <x:c r="F227" s="13" t="str">
        <x:v>Tùy diện</x:v>
      </x:c>
      <x:c r="G227" s="13" t="str">
        <x:v>Sponsor</x:v>
      </x:c>
      <x:c r="H227" s="13" t="str">
        <x:v>Visa Prepare</x:v>
      </x:c>
      <x:c r="I227" s="13" t="str">
        <x:v>Theo quy định từng nước và từng thời điểm</x:v>
      </x:c>
      <x:c r="J227" s="13" t="str"/>
    </x:row>
    <x:row r="228">
      <x:c r="A228" s="13" t="str">
        <x:v>CHK-ST-0227</x:v>
      </x:c>
      <x:c r="B228" s="13" t="str">
        <x:v>US-STUDY-M1-VOCATIONAL</x:v>
      </x:c>
      <x:c r="C228" s="13" t="str">
        <x:v>Mỹ</x:v>
      </x:c>
      <x:c r="D228" s="13" t="str">
        <x:v>SPONSOR</x:v>
      </x:c>
      <x:c r="E228" s="13" t="str">
        <x:v>Giấy tờ người bảo lãnh tài chính</x:v>
      </x:c>
      <x:c r="F228" s="13" t="str">
        <x:v>Tùy diện</x:v>
      </x:c>
      <x:c r="G228" s="13" t="str">
        <x:v>Sponsor</x:v>
      </x:c>
      <x:c r="H228" s="13" t="str">
        <x:v>Visa Prepare</x:v>
      </x:c>
      <x:c r="I228" s="13" t="str">
        <x:v>HĐLĐ, ĐKKD, thuế, sao kê, tài sản</x:v>
      </x:c>
      <x:c r="J228" s="13" t="str"/>
    </x:row>
    <x:row r="229">
      <x:c r="A229" s="13" t="str">
        <x:v>CHK-ST-0228</x:v>
      </x:c>
      <x:c r="B229" s="13" t="str">
        <x:v>US-STUDY-M1-VOCATIONAL</x:v>
      </x:c>
      <x:c r="C229" s="13" t="str">
        <x:v>Mỹ</x:v>
      </x:c>
      <x:c r="D229" s="13" t="str">
        <x:v>TRAVEL</x:v>
      </x:c>
      <x:c r="E229" s="13" t="str">
        <x:v>Bảo hiểm, booking, kế hoạch lưu trú</x:v>
      </x:c>
      <x:c r="F229" s="13" t="str">
        <x:v>Tùy diện</x:v>
      </x:c>
      <x:c r="G229" s="13" t="str">
        <x:v>Applicant</x:v>
      </x:c>
      <x:c r="H229" s="13" t="str">
        <x:v>Visa Prepare</x:v>
      </x:c>
      <x:c r="I229" s="13" t="str">
        <x:v>Đặc biệt với Schengen/Visitor study</x:v>
      </x:c>
      <x:c r="J229" s="13" t="str"/>
    </x:row>
    <x:row r="230">
      <x:c r="A230" s="13" t="str">
        <x:v>CHK-ST-0229</x:v>
      </x:c>
      <x:c r="B230" s="13" t="str">
        <x:v>US-STUDY-M1-VOCATIONAL</x:v>
      </x:c>
      <x:c r="C230" s="13" t="str">
        <x:v>Mỹ</x:v>
      </x:c>
      <x:c r="D230" s="13" t="str">
        <x:v>MEDICAL</x:v>
      </x:c>
      <x:c r="E230" s="13" t="str">
        <x:v>Khám sức khỏe/Lao phổi/Chest X-ray</x:v>
      </x:c>
      <x:c r="F230" s="13" t="str">
        <x:v>Tùy diện</x:v>
      </x:c>
      <x:c r="G230" s="13" t="str">
        <x:v>Applicant</x:v>
      </x:c>
      <x:c r="H230" s="13" t="str">
        <x:v>Medical</x:v>
      </x:c>
      <x:c r="I230" s="13" t="str">
        <x:v>Canada/Úc/NZ/Hàn tùy trường hợp</x:v>
      </x:c>
      <x:c r="J230" s="13" t="str"/>
    </x:row>
    <x:row r="231">
      <x:c r="A231" s="13" t="str">
        <x:v>CHK-ST-0230</x:v>
      </x:c>
      <x:c r="B231" s="13" t="str">
        <x:v>US-STUDY-M1-VOCATIONAL</x:v>
      </x:c>
      <x:c r="C231" s="13" t="str">
        <x:v>Mỹ</x:v>
      </x:c>
      <x:c r="D231" s="13" t="str">
        <x:v>BIOMETRIC</x:v>
      </x:c>
      <x:c r="E231" s="13" t="str">
        <x:v>Sinh trắc học/Phỏng vấn</x:v>
      </x:c>
      <x:c r="F231" s="13" t="str">
        <x:v>Tùy diện</x:v>
      </x:c>
      <x:c r="G231" s="13" t="str">
        <x:v>Applicant</x:v>
      </x:c>
      <x:c r="H231" s="13" t="str">
        <x:v>Biometrics/Interview</x:v>
      </x:c>
      <x:c r="I231" s="13" t="str">
        <x:v>VAC/VFS/LSQ theo từng nước</x:v>
      </x:c>
      <x:c r="J231" s="13" t="str"/>
    </x:row>
    <x:row r="232">
      <x:c r="A232" s="13" t="str">
        <x:v>CHK-ST-0231</x:v>
      </x:c>
      <x:c r="B232" s="13" t="str">
        <x:v>US-STUDY-J1-EXCHANGE</x:v>
      </x:c>
      <x:c r="C232" s="13" t="str">
        <x:v>Mỹ</x:v>
      </x:c>
      <x:c r="D232" s="13" t="str">
        <x:v>PERSONAL</x:v>
      </x:c>
      <x:c r="E232" s="13" t="str">
        <x:v>Hộ chiếu còn hạn</x:v>
      </x:c>
      <x:c r="F232" s="13" t="str">
        <x:v>Bắt buộc</x:v>
      </x:c>
      <x:c r="G232" s="13" t="str">
        <x:v>Applicant</x:v>
      </x:c>
      <x:c r="H232" s="13" t="str">
        <x:v>Intake</x:v>
      </x:c>
      <x:c r="I232" s="13" t="str">
        <x:v>Scan màu đủ trang thông tin và lịch sử visa</x:v>
      </x:c>
      <x:c r="J232" s="13" t="str"/>
    </x:row>
    <x:row r="233">
      <x:c r="A233" s="13" t="str">
        <x:v>CHK-ST-0232</x:v>
      </x:c>
      <x:c r="B233" s="13" t="str">
        <x:v>US-STUDY-J1-EXCHANGE</x:v>
      </x:c>
      <x:c r="C233" s="13" t="str">
        <x:v>Mỹ</x:v>
      </x:c>
      <x:c r="D233" s="13" t="str">
        <x:v>PERSONAL</x:v>
      </x:c>
      <x:c r="E233" s="13" t="str">
        <x:v>Ảnh thẻ đúng chuẩn lãnh sự</x:v>
      </x:c>
      <x:c r="F233" s="13" t="str">
        <x:v>Bắt buộc</x:v>
      </x:c>
      <x:c r="G233" s="13" t="str">
        <x:v>Applicant</x:v>
      </x:c>
      <x:c r="H233" s="13" t="str">
        <x:v>Visa Prepare</x:v>
      </x:c>
      <x:c r="I233" s="13" t="str">
        <x:v>Theo kích thước từng quốc gia</x:v>
      </x:c>
      <x:c r="J233" s="13" t="str"/>
    </x:row>
    <x:row r="234">
      <x:c r="A234" s="13" t="str">
        <x:v>CHK-ST-0233</x:v>
      </x:c>
      <x:c r="B234" s="13" t="str">
        <x:v>US-STUDY-J1-EXCHANGE</x:v>
      </x:c>
      <x:c r="C234" s="13" t="str">
        <x:v>Mỹ</x:v>
      </x:c>
      <x:c r="D234" s="13" t="str">
        <x:v>ACADEMIC</x:v>
      </x:c>
      <x:c r="E234" s="13" t="str">
        <x:v>Bằng cấp/Bảng điểm gần nhất</x:v>
      </x:c>
      <x:c r="F234" s="13" t="str">
        <x:v>Bắt buộc</x:v>
      </x:c>
      <x:c r="G234" s="13" t="str">
        <x:v>Applicant</x:v>
      </x:c>
      <x:c r="H234" s="13" t="str">
        <x:v>Counselling</x:v>
      </x:c>
      <x:c r="I234" s="13" t="str">
        <x:v>Dịch thuật công chứng nếu cần</x:v>
      </x:c>
      <x:c r="J234" s="13" t="str"/>
    </x:row>
    <x:row r="235">
      <x:c r="A235" s="13" t="str">
        <x:v>CHK-ST-0234</x:v>
      </x:c>
      <x:c r="B235" s="13" t="str">
        <x:v>US-STUDY-J1-EXCHANGE</x:v>
      </x:c>
      <x:c r="C235" s="13" t="str">
        <x:v>Mỹ</x:v>
      </x:c>
      <x:c r="D235" s="13" t="str">
        <x:v>ACADEMIC</x:v>
      </x:c>
      <x:c r="E235" s="13" t="str">
        <x:v>Kế hoạch học tập/SOP/Study Plan</x:v>
      </x:c>
      <x:c r="F235" s="13" t="str">
        <x:v>Bắt buộc</x:v>
      </x:c>
      <x:c r="G235" s="13" t="str">
        <x:v>Applicant</x:v>
      </x:c>
      <x:c r="H235" s="13" t="str">
        <x:v>Visa Prepare</x:v>
      </x:c>
      <x:c r="I235" s="13" t="str">
        <x:v>Theo quốc gia: GS/GTE/Study Plan/SOP</x:v>
      </x:c>
      <x:c r="J235" s="13" t="str">
        <x:v>SOP Template</x:v>
      </x:c>
    </x:row>
    <x:row r="236">
      <x:c r="A236" s="13" t="str">
        <x:v>CHK-ST-0235</x:v>
      </x:c>
      <x:c r="B236" s="13" t="str">
        <x:v>US-STUDY-J1-EXCHANGE</x:v>
      </x:c>
      <x:c r="C236" s="13" t="str">
        <x:v>Mỹ</x:v>
      </x:c>
      <x:c r="D236" s="13" t="str">
        <x:v>ADMISSION</x:v>
      </x:c>
      <x:c r="E236" s="13" t="str">
        <x:v>Thư mời nhập học/LOA/COE/CAS/I-20</x:v>
      </x:c>
      <x:c r="F236" s="13" t="str">
        <x:v>Bắt buộc</x:v>
      </x:c>
      <x:c r="G236" s="13" t="str">
        <x:v>Applicant</x:v>
      </x:c>
      <x:c r="H236" s="13" t="str">
        <x:v>Offer/LOA</x:v>
      </x:c>
      <x:c r="I236" s="13" t="str">
        <x:v>Tên gọi thay đổi theo quốc gia</x:v>
      </x:c>
      <x:c r="J236" s="13" t="str"/>
    </x:row>
    <x:row r="237">
      <x:c r="A237" s="13" t="str">
        <x:v>CHK-ST-0236</x:v>
      </x:c>
      <x:c r="B237" s="13" t="str">
        <x:v>US-STUDY-J1-EXCHANGE</x:v>
      </x:c>
      <x:c r="C237" s="13" t="str">
        <x:v>Mỹ</x:v>
      </x:c>
      <x:c r="D237" s="13" t="str">
        <x:v>FINANCE</x:v>
      </x:c>
      <x:c r="E237" s="13" t="str">
        <x:v>Sổ tiết kiệm/Sao kê/GIC/Blocked Account</x:v>
      </x:c>
      <x:c r="F237" s="13" t="str">
        <x:v>Tùy diện</x:v>
      </x:c>
      <x:c r="G237" s="13" t="str">
        <x:v>Sponsor</x:v>
      </x:c>
      <x:c r="H237" s="13" t="str">
        <x:v>Visa Prepare</x:v>
      </x:c>
      <x:c r="I237" s="13" t="str">
        <x:v>Theo quy định từng nước và từng thời điểm</x:v>
      </x:c>
      <x:c r="J237" s="13" t="str"/>
    </x:row>
    <x:row r="238">
      <x:c r="A238" s="13" t="str">
        <x:v>CHK-ST-0237</x:v>
      </x:c>
      <x:c r="B238" s="13" t="str">
        <x:v>US-STUDY-J1-EXCHANGE</x:v>
      </x:c>
      <x:c r="C238" s="13" t="str">
        <x:v>Mỹ</x:v>
      </x:c>
      <x:c r="D238" s="13" t="str">
        <x:v>SPONSOR</x:v>
      </x:c>
      <x:c r="E238" s="13" t="str">
        <x:v>Giấy tờ người bảo lãnh tài chính</x:v>
      </x:c>
      <x:c r="F238" s="13" t="str">
        <x:v>Tùy diện</x:v>
      </x:c>
      <x:c r="G238" s="13" t="str">
        <x:v>Sponsor</x:v>
      </x:c>
      <x:c r="H238" s="13" t="str">
        <x:v>Visa Prepare</x:v>
      </x:c>
      <x:c r="I238" s="13" t="str">
        <x:v>HĐLĐ, ĐKKD, thuế, sao kê, tài sản</x:v>
      </x:c>
      <x:c r="J238" s="13" t="str"/>
    </x:row>
    <x:row r="239">
      <x:c r="A239" s="13" t="str">
        <x:v>CHK-ST-0238</x:v>
      </x:c>
      <x:c r="B239" s="13" t="str">
        <x:v>US-STUDY-J1-EXCHANGE</x:v>
      </x:c>
      <x:c r="C239" s="13" t="str">
        <x:v>Mỹ</x:v>
      </x:c>
      <x:c r="D239" s="13" t="str">
        <x:v>TRAVEL</x:v>
      </x:c>
      <x:c r="E239" s="13" t="str">
        <x:v>Bảo hiểm, booking, kế hoạch lưu trú</x:v>
      </x:c>
      <x:c r="F239" s="13" t="str">
        <x:v>Tùy diện</x:v>
      </x:c>
      <x:c r="G239" s="13" t="str">
        <x:v>Applicant</x:v>
      </x:c>
      <x:c r="H239" s="13" t="str">
        <x:v>Visa Prepare</x:v>
      </x:c>
      <x:c r="I239" s="13" t="str">
        <x:v>Đặc biệt với Schengen/Visitor study</x:v>
      </x:c>
      <x:c r="J239" s="13" t="str"/>
    </x:row>
    <x:row r="240">
      <x:c r="A240" s="13" t="str">
        <x:v>CHK-ST-0239</x:v>
      </x:c>
      <x:c r="B240" s="13" t="str">
        <x:v>US-STUDY-J1-EXCHANGE</x:v>
      </x:c>
      <x:c r="C240" s="13" t="str">
        <x:v>Mỹ</x:v>
      </x:c>
      <x:c r="D240" s="13" t="str">
        <x:v>MEDICAL</x:v>
      </x:c>
      <x:c r="E240" s="13" t="str">
        <x:v>Khám sức khỏe/Lao phổi/Chest X-ray</x:v>
      </x:c>
      <x:c r="F240" s="13" t="str">
        <x:v>Tùy diện</x:v>
      </x:c>
      <x:c r="G240" s="13" t="str">
        <x:v>Applicant</x:v>
      </x:c>
      <x:c r="H240" s="13" t="str">
        <x:v>Medical</x:v>
      </x:c>
      <x:c r="I240" s="13" t="str">
        <x:v>Canada/Úc/NZ/Hàn tùy trường hợp</x:v>
      </x:c>
      <x:c r="J240" s="13" t="str"/>
    </x:row>
    <x:row r="241">
      <x:c r="A241" s="13" t="str">
        <x:v>CHK-ST-0240</x:v>
      </x:c>
      <x:c r="B241" s="13" t="str">
        <x:v>US-STUDY-J1-EXCHANGE</x:v>
      </x:c>
      <x:c r="C241" s="13" t="str">
        <x:v>Mỹ</x:v>
      </x:c>
      <x:c r="D241" s="13" t="str">
        <x:v>BIOMETRIC</x:v>
      </x:c>
      <x:c r="E241" s="13" t="str">
        <x:v>Sinh trắc học/Phỏng vấn</x:v>
      </x:c>
      <x:c r="F241" s="13" t="str">
        <x:v>Tùy diện</x:v>
      </x:c>
      <x:c r="G241" s="13" t="str">
        <x:v>Applicant</x:v>
      </x:c>
      <x:c r="H241" s="13" t="str">
        <x:v>Biometrics/Interview</x:v>
      </x:c>
      <x:c r="I241" s="13" t="str">
        <x:v>VAC/VFS/LSQ theo từng nước</x:v>
      </x:c>
      <x:c r="J241" s="13" t="str"/>
    </x:row>
    <x:row r="242">
      <x:c r="A242" s="13" t="str">
        <x:v>CHK-ST-0241</x:v>
      </x:c>
      <x:c r="B242" s="13" t="str">
        <x:v>AU-STUDY-SUBCLASS500</x:v>
      </x:c>
      <x:c r="C242" s="13" t="str">
        <x:v>Úc</x:v>
      </x:c>
      <x:c r="D242" s="13" t="str">
        <x:v>PERSONAL</x:v>
      </x:c>
      <x:c r="E242" s="13" t="str">
        <x:v>Hộ chiếu còn hạn</x:v>
      </x:c>
      <x:c r="F242" s="13" t="str">
        <x:v>Bắt buộc</x:v>
      </x:c>
      <x:c r="G242" s="13" t="str">
        <x:v>Applicant</x:v>
      </x:c>
      <x:c r="H242" s="13" t="str">
        <x:v>Intake</x:v>
      </x:c>
      <x:c r="I242" s="13" t="str">
        <x:v>Scan màu đủ trang thông tin và lịch sử visa</x:v>
      </x:c>
      <x:c r="J242" s="13" t="str"/>
    </x:row>
    <x:row r="243">
      <x:c r="A243" s="13" t="str">
        <x:v>CHK-ST-0242</x:v>
      </x:c>
      <x:c r="B243" s="13" t="str">
        <x:v>AU-STUDY-SUBCLASS500</x:v>
      </x:c>
      <x:c r="C243" s="13" t="str">
        <x:v>Úc</x:v>
      </x:c>
      <x:c r="D243" s="13" t="str">
        <x:v>PERSONAL</x:v>
      </x:c>
      <x:c r="E243" s="13" t="str">
        <x:v>Ảnh thẻ đúng chuẩn lãnh sự</x:v>
      </x:c>
      <x:c r="F243" s="13" t="str">
        <x:v>Bắt buộc</x:v>
      </x:c>
      <x:c r="G243" s="13" t="str">
        <x:v>Applicant</x:v>
      </x:c>
      <x:c r="H243" s="13" t="str">
        <x:v>Visa Prepare</x:v>
      </x:c>
      <x:c r="I243" s="13" t="str">
        <x:v>Theo kích thước từng quốc gia</x:v>
      </x:c>
      <x:c r="J243" s="13" t="str"/>
    </x:row>
    <x:row r="244">
      <x:c r="A244" s="13" t="str">
        <x:v>CHK-ST-0243</x:v>
      </x:c>
      <x:c r="B244" s="13" t="str">
        <x:v>AU-STUDY-SUBCLASS500</x:v>
      </x:c>
      <x:c r="C244" s="13" t="str">
        <x:v>Úc</x:v>
      </x:c>
      <x:c r="D244" s="13" t="str">
        <x:v>ACADEMIC</x:v>
      </x:c>
      <x:c r="E244" s="13" t="str">
        <x:v>Bằng cấp/Bảng điểm gần nhất</x:v>
      </x:c>
      <x:c r="F244" s="13" t="str">
        <x:v>Bắt buộc</x:v>
      </x:c>
      <x:c r="G244" s="13" t="str">
        <x:v>Applicant</x:v>
      </x:c>
      <x:c r="H244" s="13" t="str">
        <x:v>Counselling</x:v>
      </x:c>
      <x:c r="I244" s="13" t="str">
        <x:v>Dịch thuật công chứng nếu cần</x:v>
      </x:c>
      <x:c r="J244" s="13" t="str"/>
    </x:row>
    <x:row r="245">
      <x:c r="A245" s="13" t="str">
        <x:v>CHK-ST-0244</x:v>
      </x:c>
      <x:c r="B245" s="13" t="str">
        <x:v>AU-STUDY-SUBCLASS500</x:v>
      </x:c>
      <x:c r="C245" s="13" t="str">
        <x:v>Úc</x:v>
      </x:c>
      <x:c r="D245" s="13" t="str">
        <x:v>ACADEMIC</x:v>
      </x:c>
      <x:c r="E245" s="13" t="str">
        <x:v>Kế hoạch học tập/SOP/Study Plan</x:v>
      </x:c>
      <x:c r="F245" s="13" t="str">
        <x:v>Bắt buộc</x:v>
      </x:c>
      <x:c r="G245" s="13" t="str">
        <x:v>Applicant</x:v>
      </x:c>
      <x:c r="H245" s="13" t="str">
        <x:v>Visa Prepare</x:v>
      </x:c>
      <x:c r="I245" s="13" t="str">
        <x:v>Theo quốc gia: GS/GTE/Study Plan/SOP</x:v>
      </x:c>
      <x:c r="J245" s="13" t="str">
        <x:v>SOP Template</x:v>
      </x:c>
    </x:row>
    <x:row r="246">
      <x:c r="A246" s="13" t="str">
        <x:v>CHK-ST-0245</x:v>
      </x:c>
      <x:c r="B246" s="13" t="str">
        <x:v>AU-STUDY-SUBCLASS500</x:v>
      </x:c>
      <x:c r="C246" s="13" t="str">
        <x:v>Úc</x:v>
      </x:c>
      <x:c r="D246" s="13" t="str">
        <x:v>ADMISSION</x:v>
      </x:c>
      <x:c r="E246" s="13" t="str">
        <x:v>Thư mời nhập học/LOA/COE/CAS/I-20</x:v>
      </x:c>
      <x:c r="F246" s="13" t="str">
        <x:v>Bắt buộc</x:v>
      </x:c>
      <x:c r="G246" s="13" t="str">
        <x:v>Applicant</x:v>
      </x:c>
      <x:c r="H246" s="13" t="str">
        <x:v>Offer/LOA</x:v>
      </x:c>
      <x:c r="I246" s="13" t="str">
        <x:v>Tên gọi thay đổi theo quốc gia</x:v>
      </x:c>
      <x:c r="J246" s="13" t="str"/>
    </x:row>
    <x:row r="247">
      <x:c r="A247" s="13" t="str">
        <x:v>CHK-ST-0246</x:v>
      </x:c>
      <x:c r="B247" s="13" t="str">
        <x:v>AU-STUDY-SUBCLASS500</x:v>
      </x:c>
      <x:c r="C247" s="13" t="str">
        <x:v>Úc</x:v>
      </x:c>
      <x:c r="D247" s="13" t="str">
        <x:v>FINANCE</x:v>
      </x:c>
      <x:c r="E247" s="13" t="str">
        <x:v>Sổ tiết kiệm/Sao kê/GIC/Blocked Account</x:v>
      </x:c>
      <x:c r="F247" s="13" t="str">
        <x:v>Tùy diện</x:v>
      </x:c>
      <x:c r="G247" s="13" t="str">
        <x:v>Sponsor</x:v>
      </x:c>
      <x:c r="H247" s="13" t="str">
        <x:v>Visa Prepare</x:v>
      </x:c>
      <x:c r="I247" s="13" t="str">
        <x:v>Theo quy định từng nước và từng thời điểm</x:v>
      </x:c>
      <x:c r="J247" s="13" t="str"/>
    </x:row>
    <x:row r="248">
      <x:c r="A248" s="13" t="str">
        <x:v>CHK-ST-0247</x:v>
      </x:c>
      <x:c r="B248" s="13" t="str">
        <x:v>AU-STUDY-SUBCLASS500</x:v>
      </x:c>
      <x:c r="C248" s="13" t="str">
        <x:v>Úc</x:v>
      </x:c>
      <x:c r="D248" s="13" t="str">
        <x:v>SPONSOR</x:v>
      </x:c>
      <x:c r="E248" s="13" t="str">
        <x:v>Giấy tờ người bảo lãnh tài chính</x:v>
      </x:c>
      <x:c r="F248" s="13" t="str">
        <x:v>Tùy diện</x:v>
      </x:c>
      <x:c r="G248" s="13" t="str">
        <x:v>Sponsor</x:v>
      </x:c>
      <x:c r="H248" s="13" t="str">
        <x:v>Visa Prepare</x:v>
      </x:c>
      <x:c r="I248" s="13" t="str">
        <x:v>HĐLĐ, ĐKKD, thuế, sao kê, tài sản</x:v>
      </x:c>
      <x:c r="J248" s="13" t="str"/>
    </x:row>
    <x:row r="249">
      <x:c r="A249" s="13" t="str">
        <x:v>CHK-ST-0248</x:v>
      </x:c>
      <x:c r="B249" s="13" t="str">
        <x:v>AU-STUDY-SUBCLASS500</x:v>
      </x:c>
      <x:c r="C249" s="13" t="str">
        <x:v>Úc</x:v>
      </x:c>
      <x:c r="D249" s="13" t="str">
        <x:v>TRAVEL</x:v>
      </x:c>
      <x:c r="E249" s="13" t="str">
        <x:v>Bảo hiểm, booking, kế hoạch lưu trú</x:v>
      </x:c>
      <x:c r="F249" s="13" t="str">
        <x:v>Tùy diện</x:v>
      </x:c>
      <x:c r="G249" s="13" t="str">
        <x:v>Applicant</x:v>
      </x:c>
      <x:c r="H249" s="13" t="str">
        <x:v>Visa Prepare</x:v>
      </x:c>
      <x:c r="I249" s="13" t="str">
        <x:v>Đặc biệt với Schengen/Visitor study</x:v>
      </x:c>
      <x:c r="J249" s="13" t="str"/>
    </x:row>
    <x:row r="250">
      <x:c r="A250" s="13" t="str">
        <x:v>CHK-ST-0249</x:v>
      </x:c>
      <x:c r="B250" s="13" t="str">
        <x:v>AU-STUDY-SUBCLASS500</x:v>
      </x:c>
      <x:c r="C250" s="13" t="str">
        <x:v>Úc</x:v>
      </x:c>
      <x:c r="D250" s="13" t="str">
        <x:v>MEDICAL</x:v>
      </x:c>
      <x:c r="E250" s="13" t="str">
        <x:v>Khám sức khỏe/Lao phổi/Chest X-ray</x:v>
      </x:c>
      <x:c r="F250" s="13" t="str">
        <x:v>Tùy diện</x:v>
      </x:c>
      <x:c r="G250" s="13" t="str">
        <x:v>Applicant</x:v>
      </x:c>
      <x:c r="H250" s="13" t="str">
        <x:v>Medical</x:v>
      </x:c>
      <x:c r="I250" s="13" t="str">
        <x:v>Canada/Úc/NZ/Hàn tùy trường hợp</x:v>
      </x:c>
      <x:c r="J250" s="13" t="str"/>
    </x:row>
    <x:row r="251">
      <x:c r="A251" s="13" t="str">
        <x:v>CHK-ST-0250</x:v>
      </x:c>
      <x:c r="B251" s="13" t="str">
        <x:v>AU-STUDY-SUBCLASS500</x:v>
      </x:c>
      <x:c r="C251" s="13" t="str">
        <x:v>Úc</x:v>
      </x:c>
      <x:c r="D251" s="13" t="str">
        <x:v>BIOMETRIC</x:v>
      </x:c>
      <x:c r="E251" s="13" t="str">
        <x:v>Sinh trắc học/Phỏng vấn</x:v>
      </x:c>
      <x:c r="F251" s="13" t="str">
        <x:v>Tùy diện</x:v>
      </x:c>
      <x:c r="G251" s="13" t="str">
        <x:v>Applicant</x:v>
      </x:c>
      <x:c r="H251" s="13" t="str">
        <x:v>Biometrics/Interview</x:v>
      </x:c>
      <x:c r="I251" s="13" t="str">
        <x:v>VAC/VFS/LSQ theo từng nước</x:v>
      </x:c>
      <x:c r="J251" s="13" t="str"/>
    </x:row>
    <x:row r="252">
      <x:c r="A252" s="13" t="str">
        <x:v>CHK-ST-0251</x:v>
      </x:c>
      <x:c r="B252" s="13" t="str">
        <x:v>AU-STUDY-GD-SUBCLASS590</x:v>
      </x:c>
      <x:c r="C252" s="13" t="str">
        <x:v>Úc</x:v>
      </x:c>
      <x:c r="D252" s="13" t="str">
        <x:v>PERSONAL</x:v>
      </x:c>
      <x:c r="E252" s="13" t="str">
        <x:v>Hộ chiếu còn hạn</x:v>
      </x:c>
      <x:c r="F252" s="13" t="str">
        <x:v>Bắt buộc</x:v>
      </x:c>
      <x:c r="G252" s="13" t="str">
        <x:v>Applicant</x:v>
      </x:c>
      <x:c r="H252" s="13" t="str">
        <x:v>Intake</x:v>
      </x:c>
      <x:c r="I252" s="13" t="str">
        <x:v>Scan màu đủ trang thông tin và lịch sử visa</x:v>
      </x:c>
      <x:c r="J252" s="13" t="str"/>
    </x:row>
    <x:row r="253">
      <x:c r="A253" s="13" t="str">
        <x:v>CHK-ST-0252</x:v>
      </x:c>
      <x:c r="B253" s="13" t="str">
        <x:v>AU-STUDY-GD-SUBCLASS590</x:v>
      </x:c>
      <x:c r="C253" s="13" t="str">
        <x:v>Úc</x:v>
      </x:c>
      <x:c r="D253" s="13" t="str">
        <x:v>PERSONAL</x:v>
      </x:c>
      <x:c r="E253" s="13" t="str">
        <x:v>Ảnh thẻ đúng chuẩn lãnh sự</x:v>
      </x:c>
      <x:c r="F253" s="13" t="str">
        <x:v>Bắt buộc</x:v>
      </x:c>
      <x:c r="G253" s="13" t="str">
        <x:v>Applicant</x:v>
      </x:c>
      <x:c r="H253" s="13" t="str">
        <x:v>Visa Prepare</x:v>
      </x:c>
      <x:c r="I253" s="13" t="str">
        <x:v>Theo kích thước từng quốc gia</x:v>
      </x:c>
      <x:c r="J253" s="13" t="str"/>
    </x:row>
    <x:row r="254">
      <x:c r="A254" s="13" t="str">
        <x:v>CHK-ST-0253</x:v>
      </x:c>
      <x:c r="B254" s="13" t="str">
        <x:v>AU-STUDY-GD-SUBCLASS590</x:v>
      </x:c>
      <x:c r="C254" s="13" t="str">
        <x:v>Úc</x:v>
      </x:c>
      <x:c r="D254" s="13" t="str">
        <x:v>ACADEMIC</x:v>
      </x:c>
      <x:c r="E254" s="13" t="str">
        <x:v>Bằng cấp/Bảng điểm gần nhất</x:v>
      </x:c>
      <x:c r="F254" s="13" t="str">
        <x:v>Bắt buộc</x:v>
      </x:c>
      <x:c r="G254" s="13" t="str">
        <x:v>Applicant</x:v>
      </x:c>
      <x:c r="H254" s="13" t="str">
        <x:v>Counselling</x:v>
      </x:c>
      <x:c r="I254" s="13" t="str">
        <x:v>Dịch thuật công chứng nếu cần</x:v>
      </x:c>
      <x:c r="J254" s="13" t="str"/>
    </x:row>
    <x:row r="255">
      <x:c r="A255" s="13" t="str">
        <x:v>CHK-ST-0254</x:v>
      </x:c>
      <x:c r="B255" s="13" t="str">
        <x:v>AU-STUDY-GD-SUBCLASS590</x:v>
      </x:c>
      <x:c r="C255" s="13" t="str">
        <x:v>Úc</x:v>
      </x:c>
      <x:c r="D255" s="13" t="str">
        <x:v>ACADEMIC</x:v>
      </x:c>
      <x:c r="E255" s="13" t="str">
        <x:v>Kế hoạch học tập/SOP/Study Plan</x:v>
      </x:c>
      <x:c r="F255" s="13" t="str">
        <x:v>Bắt buộc</x:v>
      </x:c>
      <x:c r="G255" s="13" t="str">
        <x:v>Applicant</x:v>
      </x:c>
      <x:c r="H255" s="13" t="str">
        <x:v>Visa Prepare</x:v>
      </x:c>
      <x:c r="I255" s="13" t="str">
        <x:v>Theo quốc gia: GS/GTE/Study Plan/SOP</x:v>
      </x:c>
      <x:c r="J255" s="13" t="str">
        <x:v>SOP Template</x:v>
      </x:c>
    </x:row>
    <x:row r="256">
      <x:c r="A256" s="13" t="str">
        <x:v>CHK-ST-0255</x:v>
      </x:c>
      <x:c r="B256" s="13" t="str">
        <x:v>AU-STUDY-GD-SUBCLASS590</x:v>
      </x:c>
      <x:c r="C256" s="13" t="str">
        <x:v>Úc</x:v>
      </x:c>
      <x:c r="D256" s="13" t="str">
        <x:v>ADMISSION</x:v>
      </x:c>
      <x:c r="E256" s="13" t="str">
        <x:v>Thư mời nhập học/LOA/COE/CAS/I-20</x:v>
      </x:c>
      <x:c r="F256" s="13" t="str">
        <x:v>Bắt buộc</x:v>
      </x:c>
      <x:c r="G256" s="13" t="str">
        <x:v>Applicant</x:v>
      </x:c>
      <x:c r="H256" s="13" t="str">
        <x:v>Offer/LOA</x:v>
      </x:c>
      <x:c r="I256" s="13" t="str">
        <x:v>Tên gọi thay đổi theo quốc gia</x:v>
      </x:c>
      <x:c r="J256" s="13" t="str"/>
    </x:row>
    <x:row r="257">
      <x:c r="A257" s="13" t="str">
        <x:v>CHK-ST-0256</x:v>
      </x:c>
      <x:c r="B257" s="13" t="str">
        <x:v>AU-STUDY-GD-SUBCLASS590</x:v>
      </x:c>
      <x:c r="C257" s="13" t="str">
        <x:v>Úc</x:v>
      </x:c>
      <x:c r="D257" s="13" t="str">
        <x:v>FINANCE</x:v>
      </x:c>
      <x:c r="E257" s="13" t="str">
        <x:v>Sổ tiết kiệm/Sao kê/GIC/Blocked Account</x:v>
      </x:c>
      <x:c r="F257" s="13" t="str">
        <x:v>Tùy diện</x:v>
      </x:c>
      <x:c r="G257" s="13" t="str">
        <x:v>Sponsor</x:v>
      </x:c>
      <x:c r="H257" s="13" t="str">
        <x:v>Visa Prepare</x:v>
      </x:c>
      <x:c r="I257" s="13" t="str">
        <x:v>Theo quy định từng nước và từng thời điểm</x:v>
      </x:c>
      <x:c r="J257" s="13" t="str"/>
    </x:row>
    <x:row r="258">
      <x:c r="A258" s="13" t="str">
        <x:v>CHK-ST-0257</x:v>
      </x:c>
      <x:c r="B258" s="13" t="str">
        <x:v>AU-STUDY-GD-SUBCLASS590</x:v>
      </x:c>
      <x:c r="C258" s="13" t="str">
        <x:v>Úc</x:v>
      </x:c>
      <x:c r="D258" s="13" t="str">
        <x:v>SPONSOR</x:v>
      </x:c>
      <x:c r="E258" s="13" t="str">
        <x:v>Giấy tờ người bảo lãnh tài chính</x:v>
      </x:c>
      <x:c r="F258" s="13" t="str">
        <x:v>Tùy diện</x:v>
      </x:c>
      <x:c r="G258" s="13" t="str">
        <x:v>Sponsor</x:v>
      </x:c>
      <x:c r="H258" s="13" t="str">
        <x:v>Visa Prepare</x:v>
      </x:c>
      <x:c r="I258" s="13" t="str">
        <x:v>HĐLĐ, ĐKKD, thuế, sao kê, tài sản</x:v>
      </x:c>
      <x:c r="J258" s="13" t="str"/>
    </x:row>
    <x:row r="259">
      <x:c r="A259" s="13" t="str">
        <x:v>CHK-ST-0258</x:v>
      </x:c>
      <x:c r="B259" s="13" t="str">
        <x:v>AU-STUDY-GD-SUBCLASS590</x:v>
      </x:c>
      <x:c r="C259" s="13" t="str">
        <x:v>Úc</x:v>
      </x:c>
      <x:c r="D259" s="13" t="str">
        <x:v>TRAVEL</x:v>
      </x:c>
      <x:c r="E259" s="13" t="str">
        <x:v>Bảo hiểm, booking, kế hoạch lưu trú</x:v>
      </x:c>
      <x:c r="F259" s="13" t="str">
        <x:v>Tùy diện</x:v>
      </x:c>
      <x:c r="G259" s="13" t="str">
        <x:v>Applicant</x:v>
      </x:c>
      <x:c r="H259" s="13" t="str">
        <x:v>Visa Prepare</x:v>
      </x:c>
      <x:c r="I259" s="13" t="str">
        <x:v>Đặc biệt với Schengen/Visitor study</x:v>
      </x:c>
      <x:c r="J259" s="13" t="str"/>
    </x:row>
    <x:row r="260">
      <x:c r="A260" s="13" t="str">
        <x:v>CHK-ST-0259</x:v>
      </x:c>
      <x:c r="B260" s="13" t="str">
        <x:v>AU-STUDY-GD-SUBCLASS590</x:v>
      </x:c>
      <x:c r="C260" s="13" t="str">
        <x:v>Úc</x:v>
      </x:c>
      <x:c r="D260" s="13" t="str">
        <x:v>MEDICAL</x:v>
      </x:c>
      <x:c r="E260" s="13" t="str">
        <x:v>Khám sức khỏe/Lao phổi/Chest X-ray</x:v>
      </x:c>
      <x:c r="F260" s="13" t="str">
        <x:v>Tùy diện</x:v>
      </x:c>
      <x:c r="G260" s="13" t="str">
        <x:v>Applicant</x:v>
      </x:c>
      <x:c r="H260" s="13" t="str">
        <x:v>Medical</x:v>
      </x:c>
      <x:c r="I260" s="13" t="str">
        <x:v>Canada/Úc/NZ/Hàn tùy trường hợp</x:v>
      </x:c>
      <x:c r="J260" s="13" t="str"/>
    </x:row>
    <x:row r="261">
      <x:c r="A261" s="13" t="str">
        <x:v>CHK-ST-0260</x:v>
      </x:c>
      <x:c r="B261" s="13" t="str">
        <x:v>AU-STUDY-GD-SUBCLASS590</x:v>
      </x:c>
      <x:c r="C261" s="13" t="str">
        <x:v>Úc</x:v>
      </x:c>
      <x:c r="D261" s="13" t="str">
        <x:v>BIOMETRIC</x:v>
      </x:c>
      <x:c r="E261" s="13" t="str">
        <x:v>Sinh trắc học/Phỏng vấn</x:v>
      </x:c>
      <x:c r="F261" s="13" t="str">
        <x:v>Tùy diện</x:v>
      </x:c>
      <x:c r="G261" s="13" t="str">
        <x:v>Applicant</x:v>
      </x:c>
      <x:c r="H261" s="13" t="str">
        <x:v>Biometrics/Interview</x:v>
      </x:c>
      <x:c r="I261" s="13" t="str">
        <x:v>VAC/VFS/LSQ theo từng nước</x:v>
      </x:c>
      <x:c r="J261" s="13" t="str"/>
    </x:row>
    <x:row r="262">
      <x:c r="A262" s="13" t="str">
        <x:v>CHK-ST-0261</x:v>
      </x:c>
      <x:c r="B262" s="13" t="str">
        <x:v>CA-STUDY-PERMIT-REGULAR</x:v>
      </x:c>
      <x:c r="C262" s="13" t="str">
        <x:v>Canada</x:v>
      </x:c>
      <x:c r="D262" s="13" t="str">
        <x:v>PERSONAL</x:v>
      </x:c>
      <x:c r="E262" s="13" t="str">
        <x:v>Hộ chiếu còn hạn</x:v>
      </x:c>
      <x:c r="F262" s="13" t="str">
        <x:v>Bắt buộc</x:v>
      </x:c>
      <x:c r="G262" s="13" t="str">
        <x:v>Applicant</x:v>
      </x:c>
      <x:c r="H262" s="13" t="str">
        <x:v>Intake</x:v>
      </x:c>
      <x:c r="I262" s="13" t="str">
        <x:v>Scan màu đủ trang thông tin và lịch sử visa</x:v>
      </x:c>
      <x:c r="J262" s="13" t="str"/>
    </x:row>
    <x:row r="263">
      <x:c r="A263" s="13" t="str">
        <x:v>CHK-ST-0262</x:v>
      </x:c>
      <x:c r="B263" s="13" t="str">
        <x:v>CA-STUDY-PERMIT-REGULAR</x:v>
      </x:c>
      <x:c r="C263" s="13" t="str">
        <x:v>Canada</x:v>
      </x:c>
      <x:c r="D263" s="13" t="str">
        <x:v>PERSONAL</x:v>
      </x:c>
      <x:c r="E263" s="13" t="str">
        <x:v>Ảnh thẻ đúng chuẩn lãnh sự</x:v>
      </x:c>
      <x:c r="F263" s="13" t="str">
        <x:v>Bắt buộc</x:v>
      </x:c>
      <x:c r="G263" s="13" t="str">
        <x:v>Applicant</x:v>
      </x:c>
      <x:c r="H263" s="13" t="str">
        <x:v>Visa Prepare</x:v>
      </x:c>
      <x:c r="I263" s="13" t="str">
        <x:v>Theo kích thước từng quốc gia</x:v>
      </x:c>
      <x:c r="J263" s="13" t="str"/>
    </x:row>
    <x:row r="264">
      <x:c r="A264" s="13" t="str">
        <x:v>CHK-ST-0263</x:v>
      </x:c>
      <x:c r="B264" s="13" t="str">
        <x:v>CA-STUDY-PERMIT-REGULAR</x:v>
      </x:c>
      <x:c r="C264" s="13" t="str">
        <x:v>Canada</x:v>
      </x:c>
      <x:c r="D264" s="13" t="str">
        <x:v>ACADEMIC</x:v>
      </x:c>
      <x:c r="E264" s="13" t="str">
        <x:v>Bằng cấp/Bảng điểm gần nhất</x:v>
      </x:c>
      <x:c r="F264" s="13" t="str">
        <x:v>Bắt buộc</x:v>
      </x:c>
      <x:c r="G264" s="13" t="str">
        <x:v>Applicant</x:v>
      </x:c>
      <x:c r="H264" s="13" t="str">
        <x:v>Counselling</x:v>
      </x:c>
      <x:c r="I264" s="13" t="str">
        <x:v>Dịch thuật công chứng nếu cần</x:v>
      </x:c>
      <x:c r="J264" s="13" t="str"/>
    </x:row>
    <x:row r="265">
      <x:c r="A265" s="13" t="str">
        <x:v>CHK-ST-0264</x:v>
      </x:c>
      <x:c r="B265" s="13" t="str">
        <x:v>CA-STUDY-PERMIT-REGULAR</x:v>
      </x:c>
      <x:c r="C265" s="13" t="str">
        <x:v>Canada</x:v>
      </x:c>
      <x:c r="D265" s="13" t="str">
        <x:v>ACADEMIC</x:v>
      </x:c>
      <x:c r="E265" s="13" t="str">
        <x:v>Kế hoạch học tập/SOP/Study Plan</x:v>
      </x:c>
      <x:c r="F265" s="13" t="str">
        <x:v>Bắt buộc</x:v>
      </x:c>
      <x:c r="G265" s="13" t="str">
        <x:v>Applicant</x:v>
      </x:c>
      <x:c r="H265" s="13" t="str">
        <x:v>Visa Prepare</x:v>
      </x:c>
      <x:c r="I265" s="13" t="str">
        <x:v>Theo quốc gia: GS/GTE/Study Plan/SOP</x:v>
      </x:c>
      <x:c r="J265" s="13" t="str">
        <x:v>SOP Template</x:v>
      </x:c>
    </x:row>
    <x:row r="266">
      <x:c r="A266" s="13" t="str">
        <x:v>CHK-ST-0265</x:v>
      </x:c>
      <x:c r="B266" s="13" t="str">
        <x:v>CA-STUDY-PERMIT-REGULAR</x:v>
      </x:c>
      <x:c r="C266" s="13" t="str">
        <x:v>Canada</x:v>
      </x:c>
      <x:c r="D266" s="13" t="str">
        <x:v>ADMISSION</x:v>
      </x:c>
      <x:c r="E266" s="13" t="str">
        <x:v>Thư mời nhập học/LOA/COE/CAS/I-20</x:v>
      </x:c>
      <x:c r="F266" s="13" t="str">
        <x:v>Bắt buộc</x:v>
      </x:c>
      <x:c r="G266" s="13" t="str">
        <x:v>Applicant</x:v>
      </x:c>
      <x:c r="H266" s="13" t="str">
        <x:v>Offer/LOA</x:v>
      </x:c>
      <x:c r="I266" s="13" t="str">
        <x:v>Tên gọi thay đổi theo quốc gia</x:v>
      </x:c>
      <x:c r="J266" s="13" t="str"/>
    </x:row>
    <x:row r="267">
      <x:c r="A267" s="13" t="str">
        <x:v>CHK-ST-0266</x:v>
      </x:c>
      <x:c r="B267" s="13" t="str">
        <x:v>CA-STUDY-PERMIT-REGULAR</x:v>
      </x:c>
      <x:c r="C267" s="13" t="str">
        <x:v>Canada</x:v>
      </x:c>
      <x:c r="D267" s="13" t="str">
        <x:v>FINANCE</x:v>
      </x:c>
      <x:c r="E267" s="13" t="str">
        <x:v>Sổ tiết kiệm/Sao kê/GIC/Blocked Account</x:v>
      </x:c>
      <x:c r="F267" s="13" t="str">
        <x:v>Tùy diện</x:v>
      </x:c>
      <x:c r="G267" s="13" t="str">
        <x:v>Sponsor</x:v>
      </x:c>
      <x:c r="H267" s="13" t="str">
        <x:v>Visa Prepare</x:v>
      </x:c>
      <x:c r="I267" s="13" t="str">
        <x:v>Theo quy định từng nước và từng thời điểm</x:v>
      </x:c>
      <x:c r="J267" s="13" t="str"/>
    </x:row>
    <x:row r="268">
      <x:c r="A268" s="13" t="str">
        <x:v>CHK-ST-0267</x:v>
      </x:c>
      <x:c r="B268" s="13" t="str">
        <x:v>CA-STUDY-PERMIT-REGULAR</x:v>
      </x:c>
      <x:c r="C268" s="13" t="str">
        <x:v>Canada</x:v>
      </x:c>
      <x:c r="D268" s="13" t="str">
        <x:v>SPONSOR</x:v>
      </x:c>
      <x:c r="E268" s="13" t="str">
        <x:v>Giấy tờ người bảo lãnh tài chính</x:v>
      </x:c>
      <x:c r="F268" s="13" t="str">
        <x:v>Tùy diện</x:v>
      </x:c>
      <x:c r="G268" s="13" t="str">
        <x:v>Sponsor</x:v>
      </x:c>
      <x:c r="H268" s="13" t="str">
        <x:v>Visa Prepare</x:v>
      </x:c>
      <x:c r="I268" s="13" t="str">
        <x:v>HĐLĐ, ĐKKD, thuế, sao kê, tài sản</x:v>
      </x:c>
      <x:c r="J268" s="13" t="str"/>
    </x:row>
    <x:row r="269">
      <x:c r="A269" s="13" t="str">
        <x:v>CHK-ST-0268</x:v>
      </x:c>
      <x:c r="B269" s="13" t="str">
        <x:v>CA-STUDY-PERMIT-REGULAR</x:v>
      </x:c>
      <x:c r="C269" s="13" t="str">
        <x:v>Canada</x:v>
      </x:c>
      <x:c r="D269" s="13" t="str">
        <x:v>TRAVEL</x:v>
      </x:c>
      <x:c r="E269" s="13" t="str">
        <x:v>Bảo hiểm, booking, kế hoạch lưu trú</x:v>
      </x:c>
      <x:c r="F269" s="13" t="str">
        <x:v>Tùy diện</x:v>
      </x:c>
      <x:c r="G269" s="13" t="str">
        <x:v>Applicant</x:v>
      </x:c>
      <x:c r="H269" s="13" t="str">
        <x:v>Visa Prepare</x:v>
      </x:c>
      <x:c r="I269" s="13" t="str">
        <x:v>Đặc biệt với Schengen/Visitor study</x:v>
      </x:c>
      <x:c r="J269" s="13" t="str"/>
    </x:row>
    <x:row r="270">
      <x:c r="A270" s="13" t="str">
        <x:v>CHK-ST-0269</x:v>
      </x:c>
      <x:c r="B270" s="13" t="str">
        <x:v>CA-STUDY-PERMIT-REGULAR</x:v>
      </x:c>
      <x:c r="C270" s="13" t="str">
        <x:v>Canada</x:v>
      </x:c>
      <x:c r="D270" s="13" t="str">
        <x:v>MEDICAL</x:v>
      </x:c>
      <x:c r="E270" s="13" t="str">
        <x:v>Khám sức khỏe/Lao phổi/Chest X-ray</x:v>
      </x:c>
      <x:c r="F270" s="13" t="str">
        <x:v>Tùy diện</x:v>
      </x:c>
      <x:c r="G270" s="13" t="str">
        <x:v>Applicant</x:v>
      </x:c>
      <x:c r="H270" s="13" t="str">
        <x:v>Medical</x:v>
      </x:c>
      <x:c r="I270" s="13" t="str">
        <x:v>Canada/Úc/NZ/Hàn tùy trường hợp</x:v>
      </x:c>
      <x:c r="J270" s="13" t="str"/>
    </x:row>
    <x:row r="271">
      <x:c r="A271" s="13" t="str">
        <x:v>CHK-ST-0270</x:v>
      </x:c>
      <x:c r="B271" s="13" t="str">
        <x:v>CA-STUDY-PERMIT-REGULAR</x:v>
      </x:c>
      <x:c r="C271" s="13" t="str">
        <x:v>Canada</x:v>
      </x:c>
      <x:c r="D271" s="13" t="str">
        <x:v>BIOMETRIC</x:v>
      </x:c>
      <x:c r="E271" s="13" t="str">
        <x:v>Sinh trắc học/Phỏng vấn</x:v>
      </x:c>
      <x:c r="F271" s="13" t="str">
        <x:v>Tùy diện</x:v>
      </x:c>
      <x:c r="G271" s="13" t="str">
        <x:v>Applicant</x:v>
      </x:c>
      <x:c r="H271" s="13" t="str">
        <x:v>Biometrics/Interview</x:v>
      </x:c>
      <x:c r="I271" s="13" t="str">
        <x:v>VAC/VFS/LSQ theo từng nước</x:v>
      </x:c>
      <x:c r="J271" s="13" t="str"/>
    </x:row>
    <x:row r="272">
      <x:c r="A272" s="13" t="str">
        <x:v>CHK-ST-0271</x:v>
      </x:c>
      <x:c r="B272" s="13" t="str">
        <x:v>CA-STUDY-PERMIT-SDS</x:v>
      </x:c>
      <x:c r="C272" s="13" t="str">
        <x:v>Canada</x:v>
      </x:c>
      <x:c r="D272" s="13" t="str">
        <x:v>PERSONAL</x:v>
      </x:c>
      <x:c r="E272" s="13" t="str">
        <x:v>Hộ chiếu còn hạn</x:v>
      </x:c>
      <x:c r="F272" s="13" t="str">
        <x:v>Bắt buộc</x:v>
      </x:c>
      <x:c r="G272" s="13" t="str">
        <x:v>Applicant</x:v>
      </x:c>
      <x:c r="H272" s="13" t="str">
        <x:v>Intake</x:v>
      </x:c>
      <x:c r="I272" s="13" t="str">
        <x:v>Scan màu đủ trang thông tin và lịch sử visa</x:v>
      </x:c>
      <x:c r="J272" s="13" t="str"/>
    </x:row>
    <x:row r="273">
      <x:c r="A273" s="13" t="str">
        <x:v>CHK-ST-0272</x:v>
      </x:c>
      <x:c r="B273" s="13" t="str">
        <x:v>CA-STUDY-PERMIT-SDS</x:v>
      </x:c>
      <x:c r="C273" s="13" t="str">
        <x:v>Canada</x:v>
      </x:c>
      <x:c r="D273" s="13" t="str">
        <x:v>PERSONAL</x:v>
      </x:c>
      <x:c r="E273" s="13" t="str">
        <x:v>Ảnh thẻ đúng chuẩn lãnh sự</x:v>
      </x:c>
      <x:c r="F273" s="13" t="str">
        <x:v>Bắt buộc</x:v>
      </x:c>
      <x:c r="G273" s="13" t="str">
        <x:v>Applicant</x:v>
      </x:c>
      <x:c r="H273" s="13" t="str">
        <x:v>Visa Prepare</x:v>
      </x:c>
      <x:c r="I273" s="13" t="str">
        <x:v>Theo kích thước từng quốc gia</x:v>
      </x:c>
      <x:c r="J273" s="13" t="str"/>
    </x:row>
    <x:row r="274">
      <x:c r="A274" s="13" t="str">
        <x:v>CHK-ST-0273</x:v>
      </x:c>
      <x:c r="B274" s="13" t="str">
        <x:v>CA-STUDY-PERMIT-SDS</x:v>
      </x:c>
      <x:c r="C274" s="13" t="str">
        <x:v>Canada</x:v>
      </x:c>
      <x:c r="D274" s="13" t="str">
        <x:v>ACADEMIC</x:v>
      </x:c>
      <x:c r="E274" s="13" t="str">
        <x:v>Bằng cấp/Bảng điểm gần nhất</x:v>
      </x:c>
      <x:c r="F274" s="13" t="str">
        <x:v>Bắt buộc</x:v>
      </x:c>
      <x:c r="G274" s="13" t="str">
        <x:v>Applicant</x:v>
      </x:c>
      <x:c r="H274" s="13" t="str">
        <x:v>Counselling</x:v>
      </x:c>
      <x:c r="I274" s="13" t="str">
        <x:v>Dịch thuật công chứng nếu cần</x:v>
      </x:c>
      <x:c r="J274" s="13" t="str"/>
    </x:row>
    <x:row r="275">
      <x:c r="A275" s="13" t="str">
        <x:v>CHK-ST-0274</x:v>
      </x:c>
      <x:c r="B275" s="13" t="str">
        <x:v>CA-STUDY-PERMIT-SDS</x:v>
      </x:c>
      <x:c r="C275" s="13" t="str">
        <x:v>Canada</x:v>
      </x:c>
      <x:c r="D275" s="13" t="str">
        <x:v>ACADEMIC</x:v>
      </x:c>
      <x:c r="E275" s="13" t="str">
        <x:v>Kế hoạch học tập/SOP/Study Plan</x:v>
      </x:c>
      <x:c r="F275" s="13" t="str">
        <x:v>Bắt buộc</x:v>
      </x:c>
      <x:c r="G275" s="13" t="str">
        <x:v>Applicant</x:v>
      </x:c>
      <x:c r="H275" s="13" t="str">
        <x:v>Visa Prepare</x:v>
      </x:c>
      <x:c r="I275" s="13" t="str">
        <x:v>Theo quốc gia: GS/GTE/Study Plan/SOP</x:v>
      </x:c>
      <x:c r="J275" s="13" t="str">
        <x:v>SOP Template</x:v>
      </x:c>
    </x:row>
    <x:row r="276">
      <x:c r="A276" s="13" t="str">
        <x:v>CHK-ST-0275</x:v>
      </x:c>
      <x:c r="B276" s="13" t="str">
        <x:v>CA-STUDY-PERMIT-SDS</x:v>
      </x:c>
      <x:c r="C276" s="13" t="str">
        <x:v>Canada</x:v>
      </x:c>
      <x:c r="D276" s="13" t="str">
        <x:v>ADMISSION</x:v>
      </x:c>
      <x:c r="E276" s="13" t="str">
        <x:v>Thư mời nhập học/LOA/COE/CAS/I-20</x:v>
      </x:c>
      <x:c r="F276" s="13" t="str">
        <x:v>Bắt buộc</x:v>
      </x:c>
      <x:c r="G276" s="13" t="str">
        <x:v>Applicant</x:v>
      </x:c>
      <x:c r="H276" s="13" t="str">
        <x:v>Offer/LOA</x:v>
      </x:c>
      <x:c r="I276" s="13" t="str">
        <x:v>Tên gọi thay đổi theo quốc gia</x:v>
      </x:c>
      <x:c r="J276" s="13" t="str"/>
    </x:row>
    <x:row r="277">
      <x:c r="A277" s="13" t="str">
        <x:v>CHK-ST-0276</x:v>
      </x:c>
      <x:c r="B277" s="13" t="str">
        <x:v>CA-STUDY-PERMIT-SDS</x:v>
      </x:c>
      <x:c r="C277" s="13" t="str">
        <x:v>Canada</x:v>
      </x:c>
      <x:c r="D277" s="13" t="str">
        <x:v>FINANCE</x:v>
      </x:c>
      <x:c r="E277" s="13" t="str">
        <x:v>Sổ tiết kiệm/Sao kê/GIC/Blocked Account</x:v>
      </x:c>
      <x:c r="F277" s="13" t="str">
        <x:v>Tùy diện</x:v>
      </x:c>
      <x:c r="G277" s="13" t="str">
        <x:v>Sponsor</x:v>
      </x:c>
      <x:c r="H277" s="13" t="str">
        <x:v>Visa Prepare</x:v>
      </x:c>
      <x:c r="I277" s="13" t="str">
        <x:v>Theo quy định từng nước và từng thời điểm</x:v>
      </x:c>
      <x:c r="J277" s="13" t="str"/>
    </x:row>
    <x:row r="278">
      <x:c r="A278" s="13" t="str">
        <x:v>CHK-ST-0277</x:v>
      </x:c>
      <x:c r="B278" s="13" t="str">
        <x:v>CA-STUDY-PERMIT-SDS</x:v>
      </x:c>
      <x:c r="C278" s="13" t="str">
        <x:v>Canada</x:v>
      </x:c>
      <x:c r="D278" s="13" t="str">
        <x:v>SPONSOR</x:v>
      </x:c>
      <x:c r="E278" s="13" t="str">
        <x:v>Giấy tờ người bảo lãnh tài chính</x:v>
      </x:c>
      <x:c r="F278" s="13" t="str">
        <x:v>Tùy diện</x:v>
      </x:c>
      <x:c r="G278" s="13" t="str">
        <x:v>Sponsor</x:v>
      </x:c>
      <x:c r="H278" s="13" t="str">
        <x:v>Visa Prepare</x:v>
      </x:c>
      <x:c r="I278" s="13" t="str">
        <x:v>HĐLĐ, ĐKKD, thuế, sao kê, tài sản</x:v>
      </x:c>
      <x:c r="J278" s="13" t="str"/>
    </x:row>
    <x:row r="279">
      <x:c r="A279" s="13" t="str">
        <x:v>CHK-ST-0278</x:v>
      </x:c>
      <x:c r="B279" s="13" t="str">
        <x:v>CA-STUDY-PERMIT-SDS</x:v>
      </x:c>
      <x:c r="C279" s="13" t="str">
        <x:v>Canada</x:v>
      </x:c>
      <x:c r="D279" s="13" t="str">
        <x:v>TRAVEL</x:v>
      </x:c>
      <x:c r="E279" s="13" t="str">
        <x:v>Bảo hiểm, booking, kế hoạch lưu trú</x:v>
      </x:c>
      <x:c r="F279" s="13" t="str">
        <x:v>Tùy diện</x:v>
      </x:c>
      <x:c r="G279" s="13" t="str">
        <x:v>Applicant</x:v>
      </x:c>
      <x:c r="H279" s="13" t="str">
        <x:v>Visa Prepare</x:v>
      </x:c>
      <x:c r="I279" s="13" t="str">
        <x:v>Đặc biệt với Schengen/Visitor study</x:v>
      </x:c>
      <x:c r="J279" s="13" t="str"/>
    </x:row>
    <x:row r="280">
      <x:c r="A280" s="13" t="str">
        <x:v>CHK-ST-0279</x:v>
      </x:c>
      <x:c r="B280" s="13" t="str">
        <x:v>CA-STUDY-PERMIT-SDS</x:v>
      </x:c>
      <x:c r="C280" s="13" t="str">
        <x:v>Canada</x:v>
      </x:c>
      <x:c r="D280" s="13" t="str">
        <x:v>MEDICAL</x:v>
      </x:c>
      <x:c r="E280" s="13" t="str">
        <x:v>Khám sức khỏe/Lao phổi/Chest X-ray</x:v>
      </x:c>
      <x:c r="F280" s="13" t="str">
        <x:v>Tùy diện</x:v>
      </x:c>
      <x:c r="G280" s="13" t="str">
        <x:v>Applicant</x:v>
      </x:c>
      <x:c r="H280" s="13" t="str">
        <x:v>Medical</x:v>
      </x:c>
      <x:c r="I280" s="13" t="str">
        <x:v>Canada/Úc/NZ/Hàn tùy trường hợp</x:v>
      </x:c>
      <x:c r="J280" s="13" t="str"/>
    </x:row>
    <x:row r="281">
      <x:c r="A281" s="13" t="str">
        <x:v>CHK-ST-0280</x:v>
      </x:c>
      <x:c r="B281" s="13" t="str">
        <x:v>CA-STUDY-PERMIT-SDS</x:v>
      </x:c>
      <x:c r="C281" s="13" t="str">
        <x:v>Canada</x:v>
      </x:c>
      <x:c r="D281" s="13" t="str">
        <x:v>BIOMETRIC</x:v>
      </x:c>
      <x:c r="E281" s="13" t="str">
        <x:v>Sinh trắc học/Phỏng vấn</x:v>
      </x:c>
      <x:c r="F281" s="13" t="str">
        <x:v>Tùy diện</x:v>
      </x:c>
      <x:c r="G281" s="13" t="str">
        <x:v>Applicant</x:v>
      </x:c>
      <x:c r="H281" s="13" t="str">
        <x:v>Biometrics/Interview</x:v>
      </x:c>
      <x:c r="I281" s="13" t="str">
        <x:v>VAC/VFS/LSQ theo từng nước</x:v>
      </x:c>
      <x:c r="J281" s="13" t="str"/>
    </x:row>
    <x:row r="282">
      <x:c r="A282" s="13" t="str">
        <x:v>CHK-ST-0281</x:v>
      </x:c>
      <x:c r="B282" s="13" t="str">
        <x:v>CA-STUDY-VISITOR-SHORT</x:v>
      </x:c>
      <x:c r="C282" s="13" t="str">
        <x:v>Canada</x:v>
      </x:c>
      <x:c r="D282" s="13" t="str">
        <x:v>PERSONAL</x:v>
      </x:c>
      <x:c r="E282" s="13" t="str">
        <x:v>Hộ chiếu còn hạn</x:v>
      </x:c>
      <x:c r="F282" s="13" t="str">
        <x:v>Bắt buộc</x:v>
      </x:c>
      <x:c r="G282" s="13" t="str">
        <x:v>Applicant</x:v>
      </x:c>
      <x:c r="H282" s="13" t="str">
        <x:v>Intake</x:v>
      </x:c>
      <x:c r="I282" s="13" t="str">
        <x:v>Scan màu đủ trang thông tin và lịch sử visa</x:v>
      </x:c>
      <x:c r="J282" s="13" t="str"/>
    </x:row>
    <x:row r="283">
      <x:c r="A283" s="13" t="str">
        <x:v>CHK-ST-0282</x:v>
      </x:c>
      <x:c r="B283" s="13" t="str">
        <x:v>CA-STUDY-VISITOR-SHORT</x:v>
      </x:c>
      <x:c r="C283" s="13" t="str">
        <x:v>Canada</x:v>
      </x:c>
      <x:c r="D283" s="13" t="str">
        <x:v>PERSONAL</x:v>
      </x:c>
      <x:c r="E283" s="13" t="str">
        <x:v>Ảnh thẻ đúng chuẩn lãnh sự</x:v>
      </x:c>
      <x:c r="F283" s="13" t="str">
        <x:v>Bắt buộc</x:v>
      </x:c>
      <x:c r="G283" s="13" t="str">
        <x:v>Applicant</x:v>
      </x:c>
      <x:c r="H283" s="13" t="str">
        <x:v>Visa Prepare</x:v>
      </x:c>
      <x:c r="I283" s="13" t="str">
        <x:v>Theo kích thước từng quốc gia</x:v>
      </x:c>
      <x:c r="J283" s="13" t="str"/>
    </x:row>
    <x:row r="284">
      <x:c r="A284" s="13" t="str">
        <x:v>CHK-ST-0283</x:v>
      </x:c>
      <x:c r="B284" s="13" t="str">
        <x:v>CA-STUDY-VISITOR-SHORT</x:v>
      </x:c>
      <x:c r="C284" s="13" t="str">
        <x:v>Canada</x:v>
      </x:c>
      <x:c r="D284" s="13" t="str">
        <x:v>ACADEMIC</x:v>
      </x:c>
      <x:c r="E284" s="13" t="str">
        <x:v>Bằng cấp/Bảng điểm gần nhất</x:v>
      </x:c>
      <x:c r="F284" s="13" t="str">
        <x:v>Bắt buộc</x:v>
      </x:c>
      <x:c r="G284" s="13" t="str">
        <x:v>Applicant</x:v>
      </x:c>
      <x:c r="H284" s="13" t="str">
        <x:v>Counselling</x:v>
      </x:c>
      <x:c r="I284" s="13" t="str">
        <x:v>Dịch thuật công chứng nếu cần</x:v>
      </x:c>
      <x:c r="J284" s="13" t="str"/>
    </x:row>
    <x:row r="285">
      <x:c r="A285" s="13" t="str">
        <x:v>CHK-ST-0284</x:v>
      </x:c>
      <x:c r="B285" s="13" t="str">
        <x:v>CA-STUDY-VISITOR-SHORT</x:v>
      </x:c>
      <x:c r="C285" s="13" t="str">
        <x:v>Canada</x:v>
      </x:c>
      <x:c r="D285" s="13" t="str">
        <x:v>ACADEMIC</x:v>
      </x:c>
      <x:c r="E285" s="13" t="str">
        <x:v>Kế hoạch học tập/SOP/Study Plan</x:v>
      </x:c>
      <x:c r="F285" s="13" t="str">
        <x:v>Bắt buộc</x:v>
      </x:c>
      <x:c r="G285" s="13" t="str">
        <x:v>Applicant</x:v>
      </x:c>
      <x:c r="H285" s="13" t="str">
        <x:v>Visa Prepare</x:v>
      </x:c>
      <x:c r="I285" s="13" t="str">
        <x:v>Theo quốc gia: GS/GTE/Study Plan/SOP</x:v>
      </x:c>
      <x:c r="J285" s="13" t="str">
        <x:v>SOP Template</x:v>
      </x:c>
    </x:row>
    <x:row r="286">
      <x:c r="A286" s="13" t="str">
        <x:v>CHK-ST-0285</x:v>
      </x:c>
      <x:c r="B286" s="13" t="str">
        <x:v>CA-STUDY-VISITOR-SHORT</x:v>
      </x:c>
      <x:c r="C286" s="13" t="str">
        <x:v>Canada</x:v>
      </x:c>
      <x:c r="D286" s="13" t="str">
        <x:v>ADMISSION</x:v>
      </x:c>
      <x:c r="E286" s="13" t="str">
        <x:v>Thư mời nhập học/LOA/COE/CAS/I-20</x:v>
      </x:c>
      <x:c r="F286" s="13" t="str">
        <x:v>Bắt buộc</x:v>
      </x:c>
      <x:c r="G286" s="13" t="str">
        <x:v>Applicant</x:v>
      </x:c>
      <x:c r="H286" s="13" t="str">
        <x:v>Offer/LOA</x:v>
      </x:c>
      <x:c r="I286" s="13" t="str">
        <x:v>Tên gọi thay đổi theo quốc gia</x:v>
      </x:c>
      <x:c r="J286" s="13" t="str"/>
    </x:row>
    <x:row r="287">
      <x:c r="A287" s="13" t="str">
        <x:v>CHK-ST-0286</x:v>
      </x:c>
      <x:c r="B287" s="13" t="str">
        <x:v>CA-STUDY-VISITOR-SHORT</x:v>
      </x:c>
      <x:c r="C287" s="13" t="str">
        <x:v>Canada</x:v>
      </x:c>
      <x:c r="D287" s="13" t="str">
        <x:v>FINANCE</x:v>
      </x:c>
      <x:c r="E287" s="13" t="str">
        <x:v>Sổ tiết kiệm/Sao kê/GIC/Blocked Account</x:v>
      </x:c>
      <x:c r="F287" s="13" t="str">
        <x:v>Tùy diện</x:v>
      </x:c>
      <x:c r="G287" s="13" t="str">
        <x:v>Sponsor</x:v>
      </x:c>
      <x:c r="H287" s="13" t="str">
        <x:v>Visa Prepare</x:v>
      </x:c>
      <x:c r="I287" s="13" t="str">
        <x:v>Theo quy định từng nước và từng thời điểm</x:v>
      </x:c>
      <x:c r="J287" s="13" t="str"/>
    </x:row>
    <x:row r="288">
      <x:c r="A288" s="13" t="str">
        <x:v>CHK-ST-0287</x:v>
      </x:c>
      <x:c r="B288" s="13" t="str">
        <x:v>CA-STUDY-VISITOR-SHORT</x:v>
      </x:c>
      <x:c r="C288" s="13" t="str">
        <x:v>Canada</x:v>
      </x:c>
      <x:c r="D288" s="13" t="str">
        <x:v>SPONSOR</x:v>
      </x:c>
      <x:c r="E288" s="13" t="str">
        <x:v>Giấy tờ người bảo lãnh tài chính</x:v>
      </x:c>
      <x:c r="F288" s="13" t="str">
        <x:v>Tùy diện</x:v>
      </x:c>
      <x:c r="G288" s="13" t="str">
        <x:v>Sponsor</x:v>
      </x:c>
      <x:c r="H288" s="13" t="str">
        <x:v>Visa Prepare</x:v>
      </x:c>
      <x:c r="I288" s="13" t="str">
        <x:v>HĐLĐ, ĐKKD, thuế, sao kê, tài sản</x:v>
      </x:c>
      <x:c r="J288" s="13" t="str"/>
    </x:row>
    <x:row r="289">
      <x:c r="A289" s="13" t="str">
        <x:v>CHK-ST-0288</x:v>
      </x:c>
      <x:c r="B289" s="13" t="str">
        <x:v>CA-STUDY-VISITOR-SHORT</x:v>
      </x:c>
      <x:c r="C289" s="13" t="str">
        <x:v>Canada</x:v>
      </x:c>
      <x:c r="D289" s="13" t="str">
        <x:v>TRAVEL</x:v>
      </x:c>
      <x:c r="E289" s="13" t="str">
        <x:v>Bảo hiểm, booking, kế hoạch lưu trú</x:v>
      </x:c>
      <x:c r="F289" s="13" t="str">
        <x:v>Tùy diện</x:v>
      </x:c>
      <x:c r="G289" s="13" t="str">
        <x:v>Applicant</x:v>
      </x:c>
      <x:c r="H289" s="13" t="str">
        <x:v>Visa Prepare</x:v>
      </x:c>
      <x:c r="I289" s="13" t="str">
        <x:v>Đặc biệt với Schengen/Visitor study</x:v>
      </x:c>
      <x:c r="J289" s="13" t="str"/>
    </x:row>
    <x:row r="290">
      <x:c r="A290" s="13" t="str">
        <x:v>CHK-ST-0289</x:v>
      </x:c>
      <x:c r="B290" s="13" t="str">
        <x:v>CA-STUDY-VISITOR-SHORT</x:v>
      </x:c>
      <x:c r="C290" s="13" t="str">
        <x:v>Canada</x:v>
      </x:c>
      <x:c r="D290" s="13" t="str">
        <x:v>MEDICAL</x:v>
      </x:c>
      <x:c r="E290" s="13" t="str">
        <x:v>Khám sức khỏe/Lao phổi/Chest X-ray</x:v>
      </x:c>
      <x:c r="F290" s="13" t="str">
        <x:v>Tùy diện</x:v>
      </x:c>
      <x:c r="G290" s="13" t="str">
        <x:v>Applicant</x:v>
      </x:c>
      <x:c r="H290" s="13" t="str">
        <x:v>Medical</x:v>
      </x:c>
      <x:c r="I290" s="13" t="str">
        <x:v>Canada/Úc/NZ/Hàn tùy trường hợp</x:v>
      </x:c>
      <x:c r="J290" s="13" t="str"/>
    </x:row>
    <x:row r="291">
      <x:c r="A291" s="13" t="str">
        <x:v>CHK-ST-0290</x:v>
      </x:c>
      <x:c r="B291" s="13" t="str">
        <x:v>CA-STUDY-VISITOR-SHORT</x:v>
      </x:c>
      <x:c r="C291" s="13" t="str">
        <x:v>Canada</x:v>
      </x:c>
      <x:c r="D291" s="13" t="str">
        <x:v>BIOMETRIC</x:v>
      </x:c>
      <x:c r="E291" s="13" t="str">
        <x:v>Sinh trắc học/Phỏng vấn</x:v>
      </x:c>
      <x:c r="F291" s="13" t="str">
        <x:v>Tùy diện</x:v>
      </x:c>
      <x:c r="G291" s="13" t="str">
        <x:v>Applicant</x:v>
      </x:c>
      <x:c r="H291" s="13" t="str">
        <x:v>Biometrics/Interview</x:v>
      </x:c>
      <x:c r="I291" s="13" t="str">
        <x:v>VAC/VFS/LSQ theo từng nước</x:v>
      </x:c>
      <x:c r="J291" s="13" t="str"/>
    </x:row>
    <x:row r="292">
      <x:c r="A292" s="13" t="str">
        <x:v>CHK-ST-0291</x:v>
      </x:c>
      <x:c r="B292" s="13" t="str">
        <x:v>NZ-STUDY-FEE-PAYING</x:v>
      </x:c>
      <x:c r="C292" s="13" t="str">
        <x:v>New Zealand</x:v>
      </x:c>
      <x:c r="D292" s="13" t="str">
        <x:v>PERSONAL</x:v>
      </x:c>
      <x:c r="E292" s="13" t="str">
        <x:v>Hộ chiếu còn hạn</x:v>
      </x:c>
      <x:c r="F292" s="13" t="str">
        <x:v>Bắt buộc</x:v>
      </x:c>
      <x:c r="G292" s="13" t="str">
        <x:v>Applicant</x:v>
      </x:c>
      <x:c r="H292" s="13" t="str">
        <x:v>Intake</x:v>
      </x:c>
      <x:c r="I292" s="13" t="str">
        <x:v>Scan màu đủ trang thông tin và lịch sử visa</x:v>
      </x:c>
      <x:c r="J292" s="13" t="str"/>
    </x:row>
    <x:row r="293">
      <x:c r="A293" s="13" t="str">
        <x:v>CHK-ST-0292</x:v>
      </x:c>
      <x:c r="B293" s="13" t="str">
        <x:v>NZ-STUDY-FEE-PAYING</x:v>
      </x:c>
      <x:c r="C293" s="13" t="str">
        <x:v>New Zealand</x:v>
      </x:c>
      <x:c r="D293" s="13" t="str">
        <x:v>PERSONAL</x:v>
      </x:c>
      <x:c r="E293" s="13" t="str">
        <x:v>Ảnh thẻ đúng chuẩn lãnh sự</x:v>
      </x:c>
      <x:c r="F293" s="13" t="str">
        <x:v>Bắt buộc</x:v>
      </x:c>
      <x:c r="G293" s="13" t="str">
        <x:v>Applicant</x:v>
      </x:c>
      <x:c r="H293" s="13" t="str">
        <x:v>Visa Prepare</x:v>
      </x:c>
      <x:c r="I293" s="13" t="str">
        <x:v>Theo kích thước từng quốc gia</x:v>
      </x:c>
      <x:c r="J293" s="13" t="str"/>
    </x:row>
    <x:row r="294">
      <x:c r="A294" s="13" t="str">
        <x:v>CHK-ST-0293</x:v>
      </x:c>
      <x:c r="B294" s="13" t="str">
        <x:v>NZ-STUDY-FEE-PAYING</x:v>
      </x:c>
      <x:c r="C294" s="13" t="str">
        <x:v>New Zealand</x:v>
      </x:c>
      <x:c r="D294" s="13" t="str">
        <x:v>ACADEMIC</x:v>
      </x:c>
      <x:c r="E294" s="13" t="str">
        <x:v>Bằng cấp/Bảng điểm gần nhất</x:v>
      </x:c>
      <x:c r="F294" s="13" t="str">
        <x:v>Bắt buộc</x:v>
      </x:c>
      <x:c r="G294" s="13" t="str">
        <x:v>Applicant</x:v>
      </x:c>
      <x:c r="H294" s="13" t="str">
        <x:v>Counselling</x:v>
      </x:c>
      <x:c r="I294" s="13" t="str">
        <x:v>Dịch thuật công chứng nếu cần</x:v>
      </x:c>
      <x:c r="J294" s="13" t="str"/>
    </x:row>
    <x:row r="295">
      <x:c r="A295" s="13" t="str">
        <x:v>CHK-ST-0294</x:v>
      </x:c>
      <x:c r="B295" s="13" t="str">
        <x:v>NZ-STUDY-FEE-PAYING</x:v>
      </x:c>
      <x:c r="C295" s="13" t="str">
        <x:v>New Zealand</x:v>
      </x:c>
      <x:c r="D295" s="13" t="str">
        <x:v>ACADEMIC</x:v>
      </x:c>
      <x:c r="E295" s="13" t="str">
        <x:v>Kế hoạch học tập/SOP/Study Plan</x:v>
      </x:c>
      <x:c r="F295" s="13" t="str">
        <x:v>Bắt buộc</x:v>
      </x:c>
      <x:c r="G295" s="13" t="str">
        <x:v>Applicant</x:v>
      </x:c>
      <x:c r="H295" s="13" t="str">
        <x:v>Visa Prepare</x:v>
      </x:c>
      <x:c r="I295" s="13" t="str">
        <x:v>Theo quốc gia: GS/GTE/Study Plan/SOP</x:v>
      </x:c>
      <x:c r="J295" s="13" t="str">
        <x:v>SOP Template</x:v>
      </x:c>
    </x:row>
    <x:row r="296">
      <x:c r="A296" s="13" t="str">
        <x:v>CHK-ST-0295</x:v>
      </x:c>
      <x:c r="B296" s="13" t="str">
        <x:v>NZ-STUDY-FEE-PAYING</x:v>
      </x:c>
      <x:c r="C296" s="13" t="str">
        <x:v>New Zealand</x:v>
      </x:c>
      <x:c r="D296" s="13" t="str">
        <x:v>ADMISSION</x:v>
      </x:c>
      <x:c r="E296" s="13" t="str">
        <x:v>Thư mời nhập học/LOA/COE/CAS/I-20</x:v>
      </x:c>
      <x:c r="F296" s="13" t="str">
        <x:v>Bắt buộc</x:v>
      </x:c>
      <x:c r="G296" s="13" t="str">
        <x:v>Applicant</x:v>
      </x:c>
      <x:c r="H296" s="13" t="str">
        <x:v>Offer/LOA</x:v>
      </x:c>
      <x:c r="I296" s="13" t="str">
        <x:v>Tên gọi thay đổi theo quốc gia</x:v>
      </x:c>
      <x:c r="J296" s="13" t="str"/>
    </x:row>
    <x:row r="297">
      <x:c r="A297" s="13" t="str">
        <x:v>CHK-ST-0296</x:v>
      </x:c>
      <x:c r="B297" s="13" t="str">
        <x:v>NZ-STUDY-FEE-PAYING</x:v>
      </x:c>
      <x:c r="C297" s="13" t="str">
        <x:v>New Zealand</x:v>
      </x:c>
      <x:c r="D297" s="13" t="str">
        <x:v>FINANCE</x:v>
      </x:c>
      <x:c r="E297" s="13" t="str">
        <x:v>Sổ tiết kiệm/Sao kê/GIC/Blocked Account</x:v>
      </x:c>
      <x:c r="F297" s="13" t="str">
        <x:v>Tùy diện</x:v>
      </x:c>
      <x:c r="G297" s="13" t="str">
        <x:v>Sponsor</x:v>
      </x:c>
      <x:c r="H297" s="13" t="str">
        <x:v>Visa Prepare</x:v>
      </x:c>
      <x:c r="I297" s="13" t="str">
        <x:v>Theo quy định từng nước và từng thời điểm</x:v>
      </x:c>
      <x:c r="J297" s="13" t="str"/>
    </x:row>
    <x:row r="298">
      <x:c r="A298" s="13" t="str">
        <x:v>CHK-ST-0297</x:v>
      </x:c>
      <x:c r="B298" s="13" t="str">
        <x:v>NZ-STUDY-FEE-PAYING</x:v>
      </x:c>
      <x:c r="C298" s="13" t="str">
        <x:v>New Zealand</x:v>
      </x:c>
      <x:c r="D298" s="13" t="str">
        <x:v>SPONSOR</x:v>
      </x:c>
      <x:c r="E298" s="13" t="str">
        <x:v>Giấy tờ người bảo lãnh tài chính</x:v>
      </x:c>
      <x:c r="F298" s="13" t="str">
        <x:v>Tùy diện</x:v>
      </x:c>
      <x:c r="G298" s="13" t="str">
        <x:v>Sponsor</x:v>
      </x:c>
      <x:c r="H298" s="13" t="str">
        <x:v>Visa Prepare</x:v>
      </x:c>
      <x:c r="I298" s="13" t="str">
        <x:v>HĐLĐ, ĐKKD, thuế, sao kê, tài sản</x:v>
      </x:c>
      <x:c r="J298" s="13" t="str"/>
    </x:row>
    <x:row r="299">
      <x:c r="A299" s="13" t="str">
        <x:v>CHK-ST-0298</x:v>
      </x:c>
      <x:c r="B299" s="13" t="str">
        <x:v>NZ-STUDY-FEE-PAYING</x:v>
      </x:c>
      <x:c r="C299" s="13" t="str">
        <x:v>New Zealand</x:v>
      </x:c>
      <x:c r="D299" s="13" t="str">
        <x:v>TRAVEL</x:v>
      </x:c>
      <x:c r="E299" s="13" t="str">
        <x:v>Bảo hiểm, booking, kế hoạch lưu trú</x:v>
      </x:c>
      <x:c r="F299" s="13" t="str">
        <x:v>Tùy diện</x:v>
      </x:c>
      <x:c r="G299" s="13" t="str">
        <x:v>Applicant</x:v>
      </x:c>
      <x:c r="H299" s="13" t="str">
        <x:v>Visa Prepare</x:v>
      </x:c>
      <x:c r="I299" s="13" t="str">
        <x:v>Đặc biệt với Schengen/Visitor study</x:v>
      </x:c>
      <x:c r="J299" s="13" t="str"/>
    </x:row>
    <x:row r="300">
      <x:c r="A300" s="13" t="str">
        <x:v>CHK-ST-0299</x:v>
      </x:c>
      <x:c r="B300" s="13" t="str">
        <x:v>NZ-STUDY-FEE-PAYING</x:v>
      </x:c>
      <x:c r="C300" s="13" t="str">
        <x:v>New Zealand</x:v>
      </x:c>
      <x:c r="D300" s="13" t="str">
        <x:v>MEDICAL</x:v>
      </x:c>
      <x:c r="E300" s="13" t="str">
        <x:v>Khám sức khỏe/Lao phổi/Chest X-ray</x:v>
      </x:c>
      <x:c r="F300" s="13" t="str">
        <x:v>Tùy diện</x:v>
      </x:c>
      <x:c r="G300" s="13" t="str">
        <x:v>Applicant</x:v>
      </x:c>
      <x:c r="H300" s="13" t="str">
        <x:v>Medical</x:v>
      </x:c>
      <x:c r="I300" s="13" t="str">
        <x:v>Canada/Úc/NZ/Hàn tùy trường hợp</x:v>
      </x:c>
      <x:c r="J300" s="13" t="str"/>
    </x:row>
    <x:row r="301">
      <x:c r="A301" s="13" t="str">
        <x:v>CHK-ST-0300</x:v>
      </x:c>
      <x:c r="B301" s="13" t="str">
        <x:v>NZ-STUDY-FEE-PAYING</x:v>
      </x:c>
      <x:c r="C301" s="13" t="str">
        <x:v>New Zealand</x:v>
      </x:c>
      <x:c r="D301" s="13" t="str">
        <x:v>BIOMETRIC</x:v>
      </x:c>
      <x:c r="E301" s="13" t="str">
        <x:v>Sinh trắc học/Phỏng vấn</x:v>
      </x:c>
      <x:c r="F301" s="13" t="str">
        <x:v>Tùy diện</x:v>
      </x:c>
      <x:c r="G301" s="13" t="str">
        <x:v>Applicant</x:v>
      </x:c>
      <x:c r="H301" s="13" t="str">
        <x:v>Biometrics/Interview</x:v>
      </x:c>
      <x:c r="I301" s="13" t="str">
        <x:v>VAC/VFS/LSQ theo từng nước</x:v>
      </x:c>
      <x:c r="J301" s="13" t="str"/>
    </x:row>
    <x:row r="302">
      <x:c r="A302" s="13" t="str">
        <x:v>CHK-ST-0301</x:v>
      </x:c>
      <x:c r="B302" s="13" t="str">
        <x:v>NZ-STUDY-PATHWAY</x:v>
      </x:c>
      <x:c r="C302" s="13" t="str">
        <x:v>New Zealand</x:v>
      </x:c>
      <x:c r="D302" s="13" t="str">
        <x:v>PERSONAL</x:v>
      </x:c>
      <x:c r="E302" s="13" t="str">
        <x:v>Hộ chiếu còn hạn</x:v>
      </x:c>
      <x:c r="F302" s="13" t="str">
        <x:v>Bắt buộc</x:v>
      </x:c>
      <x:c r="G302" s="13" t="str">
        <x:v>Applicant</x:v>
      </x:c>
      <x:c r="H302" s="13" t="str">
        <x:v>Intake</x:v>
      </x:c>
      <x:c r="I302" s="13" t="str">
        <x:v>Scan màu đủ trang thông tin và lịch sử visa</x:v>
      </x:c>
      <x:c r="J302" s="13" t="str"/>
    </x:row>
    <x:row r="303">
      <x:c r="A303" s="13" t="str">
        <x:v>CHK-ST-0302</x:v>
      </x:c>
      <x:c r="B303" s="13" t="str">
        <x:v>NZ-STUDY-PATHWAY</x:v>
      </x:c>
      <x:c r="C303" s="13" t="str">
        <x:v>New Zealand</x:v>
      </x:c>
      <x:c r="D303" s="13" t="str">
        <x:v>PERSONAL</x:v>
      </x:c>
      <x:c r="E303" s="13" t="str">
        <x:v>Ảnh thẻ đúng chuẩn lãnh sự</x:v>
      </x:c>
      <x:c r="F303" s="13" t="str">
        <x:v>Bắt buộc</x:v>
      </x:c>
      <x:c r="G303" s="13" t="str">
        <x:v>Applicant</x:v>
      </x:c>
      <x:c r="H303" s="13" t="str">
        <x:v>Visa Prepare</x:v>
      </x:c>
      <x:c r="I303" s="13" t="str">
        <x:v>Theo kích thước từng quốc gia</x:v>
      </x:c>
      <x:c r="J303" s="13" t="str"/>
    </x:row>
    <x:row r="304">
      <x:c r="A304" s="13" t="str">
        <x:v>CHK-ST-0303</x:v>
      </x:c>
      <x:c r="B304" s="13" t="str">
        <x:v>NZ-STUDY-PATHWAY</x:v>
      </x:c>
      <x:c r="C304" s="13" t="str">
        <x:v>New Zealand</x:v>
      </x:c>
      <x:c r="D304" s="13" t="str">
        <x:v>ACADEMIC</x:v>
      </x:c>
      <x:c r="E304" s="13" t="str">
        <x:v>Bằng cấp/Bảng điểm gần nhất</x:v>
      </x:c>
      <x:c r="F304" s="13" t="str">
        <x:v>Bắt buộc</x:v>
      </x:c>
      <x:c r="G304" s="13" t="str">
        <x:v>Applicant</x:v>
      </x:c>
      <x:c r="H304" s="13" t="str">
        <x:v>Counselling</x:v>
      </x:c>
      <x:c r="I304" s="13" t="str">
        <x:v>Dịch thuật công chứng nếu cần</x:v>
      </x:c>
      <x:c r="J304" s="13" t="str"/>
    </x:row>
    <x:row r="305">
      <x:c r="A305" s="13" t="str">
        <x:v>CHK-ST-0304</x:v>
      </x:c>
      <x:c r="B305" s="13" t="str">
        <x:v>NZ-STUDY-PATHWAY</x:v>
      </x:c>
      <x:c r="C305" s="13" t="str">
        <x:v>New Zealand</x:v>
      </x:c>
      <x:c r="D305" s="13" t="str">
        <x:v>ACADEMIC</x:v>
      </x:c>
      <x:c r="E305" s="13" t="str">
        <x:v>Kế hoạch học tập/SOP/Study Plan</x:v>
      </x:c>
      <x:c r="F305" s="13" t="str">
        <x:v>Bắt buộc</x:v>
      </x:c>
      <x:c r="G305" s="13" t="str">
        <x:v>Applicant</x:v>
      </x:c>
      <x:c r="H305" s="13" t="str">
        <x:v>Visa Prepare</x:v>
      </x:c>
      <x:c r="I305" s="13" t="str">
        <x:v>Theo quốc gia: GS/GTE/Study Plan/SOP</x:v>
      </x:c>
      <x:c r="J305" s="13" t="str">
        <x:v>SOP Template</x:v>
      </x:c>
    </x:row>
    <x:row r="306">
      <x:c r="A306" s="13" t="str">
        <x:v>CHK-ST-0305</x:v>
      </x:c>
      <x:c r="B306" s="13" t="str">
        <x:v>NZ-STUDY-PATHWAY</x:v>
      </x:c>
      <x:c r="C306" s="13" t="str">
        <x:v>New Zealand</x:v>
      </x:c>
      <x:c r="D306" s="13" t="str">
        <x:v>ADMISSION</x:v>
      </x:c>
      <x:c r="E306" s="13" t="str">
        <x:v>Thư mời nhập học/LOA/COE/CAS/I-20</x:v>
      </x:c>
      <x:c r="F306" s="13" t="str">
        <x:v>Bắt buộc</x:v>
      </x:c>
      <x:c r="G306" s="13" t="str">
        <x:v>Applicant</x:v>
      </x:c>
      <x:c r="H306" s="13" t="str">
        <x:v>Offer/LOA</x:v>
      </x:c>
      <x:c r="I306" s="13" t="str">
        <x:v>Tên gọi thay đổi theo quốc gia</x:v>
      </x:c>
      <x:c r="J306" s="13" t="str"/>
    </x:row>
    <x:row r="307">
      <x:c r="A307" s="13" t="str">
        <x:v>CHK-ST-0306</x:v>
      </x:c>
      <x:c r="B307" s="13" t="str">
        <x:v>NZ-STUDY-PATHWAY</x:v>
      </x:c>
      <x:c r="C307" s="13" t="str">
        <x:v>New Zealand</x:v>
      </x:c>
      <x:c r="D307" s="13" t="str">
        <x:v>FINANCE</x:v>
      </x:c>
      <x:c r="E307" s="13" t="str">
        <x:v>Sổ tiết kiệm/Sao kê/GIC/Blocked Account</x:v>
      </x:c>
      <x:c r="F307" s="13" t="str">
        <x:v>Tùy diện</x:v>
      </x:c>
      <x:c r="G307" s="13" t="str">
        <x:v>Sponsor</x:v>
      </x:c>
      <x:c r="H307" s="13" t="str">
        <x:v>Visa Prepare</x:v>
      </x:c>
      <x:c r="I307" s="13" t="str">
        <x:v>Theo quy định từng nước và từng thời điểm</x:v>
      </x:c>
      <x:c r="J307" s="13" t="str"/>
    </x:row>
    <x:row r="308">
      <x:c r="A308" s="13" t="str">
        <x:v>CHK-ST-0307</x:v>
      </x:c>
      <x:c r="B308" s="13" t="str">
        <x:v>NZ-STUDY-PATHWAY</x:v>
      </x:c>
      <x:c r="C308" s="13" t="str">
        <x:v>New Zealand</x:v>
      </x:c>
      <x:c r="D308" s="13" t="str">
        <x:v>SPONSOR</x:v>
      </x:c>
      <x:c r="E308" s="13" t="str">
        <x:v>Giấy tờ người bảo lãnh tài chính</x:v>
      </x:c>
      <x:c r="F308" s="13" t="str">
        <x:v>Tùy diện</x:v>
      </x:c>
      <x:c r="G308" s="13" t="str">
        <x:v>Sponsor</x:v>
      </x:c>
      <x:c r="H308" s="13" t="str">
        <x:v>Visa Prepare</x:v>
      </x:c>
      <x:c r="I308" s="13" t="str">
        <x:v>HĐLĐ, ĐKKD, thuế, sao kê, tài sản</x:v>
      </x:c>
      <x:c r="J308" s="13" t="str"/>
    </x:row>
    <x:row r="309">
      <x:c r="A309" s="13" t="str">
        <x:v>CHK-ST-0308</x:v>
      </x:c>
      <x:c r="B309" s="13" t="str">
        <x:v>NZ-STUDY-PATHWAY</x:v>
      </x:c>
      <x:c r="C309" s="13" t="str">
        <x:v>New Zealand</x:v>
      </x:c>
      <x:c r="D309" s="13" t="str">
        <x:v>TRAVEL</x:v>
      </x:c>
      <x:c r="E309" s="13" t="str">
        <x:v>Bảo hiểm, booking, kế hoạch lưu trú</x:v>
      </x:c>
      <x:c r="F309" s="13" t="str">
        <x:v>Tùy diện</x:v>
      </x:c>
      <x:c r="G309" s="13" t="str">
        <x:v>Applicant</x:v>
      </x:c>
      <x:c r="H309" s="13" t="str">
        <x:v>Visa Prepare</x:v>
      </x:c>
      <x:c r="I309" s="13" t="str">
        <x:v>Đặc biệt với Schengen/Visitor study</x:v>
      </x:c>
      <x:c r="J309" s="13" t="str"/>
    </x:row>
    <x:row r="310">
      <x:c r="A310" s="13" t="str">
        <x:v>CHK-ST-0309</x:v>
      </x:c>
      <x:c r="B310" s="13" t="str">
        <x:v>NZ-STUDY-PATHWAY</x:v>
      </x:c>
      <x:c r="C310" s="13" t="str">
        <x:v>New Zealand</x:v>
      </x:c>
      <x:c r="D310" s="13" t="str">
        <x:v>MEDICAL</x:v>
      </x:c>
      <x:c r="E310" s="13" t="str">
        <x:v>Khám sức khỏe/Lao phổi/Chest X-ray</x:v>
      </x:c>
      <x:c r="F310" s="13" t="str">
        <x:v>Tùy diện</x:v>
      </x:c>
      <x:c r="G310" s="13" t="str">
        <x:v>Applicant</x:v>
      </x:c>
      <x:c r="H310" s="13" t="str">
        <x:v>Medical</x:v>
      </x:c>
      <x:c r="I310" s="13" t="str">
        <x:v>Canada/Úc/NZ/Hàn tùy trường hợp</x:v>
      </x:c>
      <x:c r="J310" s="13" t="str"/>
    </x:row>
    <x:row r="311">
      <x:c r="A311" s="13" t="str">
        <x:v>CHK-ST-0310</x:v>
      </x:c>
      <x:c r="B311" s="13" t="str">
        <x:v>NZ-STUDY-PATHWAY</x:v>
      </x:c>
      <x:c r="C311" s="13" t="str">
        <x:v>New Zealand</x:v>
      </x:c>
      <x:c r="D311" s="13" t="str">
        <x:v>BIOMETRIC</x:v>
      </x:c>
      <x:c r="E311" s="13" t="str">
        <x:v>Sinh trắc học/Phỏng vấn</x:v>
      </x:c>
      <x:c r="F311" s="13" t="str">
        <x:v>Tùy diện</x:v>
      </x:c>
      <x:c r="G311" s="13" t="str">
        <x:v>Applicant</x:v>
      </x:c>
      <x:c r="H311" s="13" t="str">
        <x:v>Biometrics/Interview</x:v>
      </x:c>
      <x:c r="I311" s="13" t="str">
        <x:v>VAC/VFS/LSQ theo từng nước</x:v>
      </x:c>
      <x:c r="J311" s="13" t="str"/>
    </x:row>
    <x:row r="312">
      <x:c r="A312" s="13" t="str">
        <x:v>CHK-ST-0311</x:v>
      </x:c>
      <x:c r="B312" s="13" t="str">
        <x:v>NZ-STUDY-EXCHANGE</x:v>
      </x:c>
      <x:c r="C312" s="13" t="str">
        <x:v>New Zealand</x:v>
      </x:c>
      <x:c r="D312" s="13" t="str">
        <x:v>PERSONAL</x:v>
      </x:c>
      <x:c r="E312" s="13" t="str">
        <x:v>Hộ chiếu còn hạn</x:v>
      </x:c>
      <x:c r="F312" s="13" t="str">
        <x:v>Bắt buộc</x:v>
      </x:c>
      <x:c r="G312" s="13" t="str">
        <x:v>Applicant</x:v>
      </x:c>
      <x:c r="H312" s="13" t="str">
        <x:v>Intake</x:v>
      </x:c>
      <x:c r="I312" s="13" t="str">
        <x:v>Scan màu đủ trang thông tin và lịch sử visa</x:v>
      </x:c>
      <x:c r="J312" s="13" t="str"/>
    </x:row>
    <x:row r="313">
      <x:c r="A313" s="13" t="str">
        <x:v>CHK-ST-0312</x:v>
      </x:c>
      <x:c r="B313" s="13" t="str">
        <x:v>NZ-STUDY-EXCHANGE</x:v>
      </x:c>
      <x:c r="C313" s="13" t="str">
        <x:v>New Zealand</x:v>
      </x:c>
      <x:c r="D313" s="13" t="str">
        <x:v>PERSONAL</x:v>
      </x:c>
      <x:c r="E313" s="13" t="str">
        <x:v>Ảnh thẻ đúng chuẩn lãnh sự</x:v>
      </x:c>
      <x:c r="F313" s="13" t="str">
        <x:v>Bắt buộc</x:v>
      </x:c>
      <x:c r="G313" s="13" t="str">
        <x:v>Applicant</x:v>
      </x:c>
      <x:c r="H313" s="13" t="str">
        <x:v>Visa Prepare</x:v>
      </x:c>
      <x:c r="I313" s="13" t="str">
        <x:v>Theo kích thước từng quốc gia</x:v>
      </x:c>
      <x:c r="J313" s="13" t="str"/>
    </x:row>
    <x:row r="314">
      <x:c r="A314" s="13" t="str">
        <x:v>CHK-ST-0313</x:v>
      </x:c>
      <x:c r="B314" s="13" t="str">
        <x:v>NZ-STUDY-EXCHANGE</x:v>
      </x:c>
      <x:c r="C314" s="13" t="str">
        <x:v>New Zealand</x:v>
      </x:c>
      <x:c r="D314" s="13" t="str">
        <x:v>ACADEMIC</x:v>
      </x:c>
      <x:c r="E314" s="13" t="str">
        <x:v>Bằng cấp/Bảng điểm gần nhất</x:v>
      </x:c>
      <x:c r="F314" s="13" t="str">
        <x:v>Bắt buộc</x:v>
      </x:c>
      <x:c r="G314" s="13" t="str">
        <x:v>Applicant</x:v>
      </x:c>
      <x:c r="H314" s="13" t="str">
        <x:v>Counselling</x:v>
      </x:c>
      <x:c r="I314" s="13" t="str">
        <x:v>Dịch thuật công chứng nếu cần</x:v>
      </x:c>
      <x:c r="J314" s="13" t="str"/>
    </x:row>
    <x:row r="315">
      <x:c r="A315" s="13" t="str">
        <x:v>CHK-ST-0314</x:v>
      </x:c>
      <x:c r="B315" s="13" t="str">
        <x:v>NZ-STUDY-EXCHANGE</x:v>
      </x:c>
      <x:c r="C315" s="13" t="str">
        <x:v>New Zealand</x:v>
      </x:c>
      <x:c r="D315" s="13" t="str">
        <x:v>ACADEMIC</x:v>
      </x:c>
      <x:c r="E315" s="13" t="str">
        <x:v>Kế hoạch học tập/SOP/Study Plan</x:v>
      </x:c>
      <x:c r="F315" s="13" t="str">
        <x:v>Bắt buộc</x:v>
      </x:c>
      <x:c r="G315" s="13" t="str">
        <x:v>Applicant</x:v>
      </x:c>
      <x:c r="H315" s="13" t="str">
        <x:v>Visa Prepare</x:v>
      </x:c>
      <x:c r="I315" s="13" t="str">
        <x:v>Theo quốc gia: GS/GTE/Study Plan/SOP</x:v>
      </x:c>
      <x:c r="J315" s="13" t="str">
        <x:v>SOP Template</x:v>
      </x:c>
    </x:row>
    <x:row r="316">
      <x:c r="A316" s="13" t="str">
        <x:v>CHK-ST-0315</x:v>
      </x:c>
      <x:c r="B316" s="13" t="str">
        <x:v>NZ-STUDY-EXCHANGE</x:v>
      </x:c>
      <x:c r="C316" s="13" t="str">
        <x:v>New Zealand</x:v>
      </x:c>
      <x:c r="D316" s="13" t="str">
        <x:v>ADMISSION</x:v>
      </x:c>
      <x:c r="E316" s="13" t="str">
        <x:v>Thư mời nhập học/LOA/COE/CAS/I-20</x:v>
      </x:c>
      <x:c r="F316" s="13" t="str">
        <x:v>Bắt buộc</x:v>
      </x:c>
      <x:c r="G316" s="13" t="str">
        <x:v>Applicant</x:v>
      </x:c>
      <x:c r="H316" s="13" t="str">
        <x:v>Offer/LOA</x:v>
      </x:c>
      <x:c r="I316" s="13" t="str">
        <x:v>Tên gọi thay đổi theo quốc gia</x:v>
      </x:c>
      <x:c r="J316" s="13" t="str"/>
    </x:row>
    <x:row r="317">
      <x:c r="A317" s="13" t="str">
        <x:v>CHK-ST-0316</x:v>
      </x:c>
      <x:c r="B317" s="13" t="str">
        <x:v>NZ-STUDY-EXCHANGE</x:v>
      </x:c>
      <x:c r="C317" s="13" t="str">
        <x:v>New Zealand</x:v>
      </x:c>
      <x:c r="D317" s="13" t="str">
        <x:v>FINANCE</x:v>
      </x:c>
      <x:c r="E317" s="13" t="str">
        <x:v>Sổ tiết kiệm/Sao kê/GIC/Blocked Account</x:v>
      </x:c>
      <x:c r="F317" s="13" t="str">
        <x:v>Tùy diện</x:v>
      </x:c>
      <x:c r="G317" s="13" t="str">
        <x:v>Sponsor</x:v>
      </x:c>
      <x:c r="H317" s="13" t="str">
        <x:v>Visa Prepare</x:v>
      </x:c>
      <x:c r="I317" s="13" t="str">
        <x:v>Theo quy định từng nước và từng thời điểm</x:v>
      </x:c>
      <x:c r="J317" s="13" t="str"/>
    </x:row>
    <x:row r="318">
      <x:c r="A318" s="13" t="str">
        <x:v>CHK-ST-0317</x:v>
      </x:c>
      <x:c r="B318" s="13" t="str">
        <x:v>NZ-STUDY-EXCHANGE</x:v>
      </x:c>
      <x:c r="C318" s="13" t="str">
        <x:v>New Zealand</x:v>
      </x:c>
      <x:c r="D318" s="13" t="str">
        <x:v>SPONSOR</x:v>
      </x:c>
      <x:c r="E318" s="13" t="str">
        <x:v>Giấy tờ người bảo lãnh tài chính</x:v>
      </x:c>
      <x:c r="F318" s="13" t="str">
        <x:v>Tùy diện</x:v>
      </x:c>
      <x:c r="G318" s="13" t="str">
        <x:v>Sponsor</x:v>
      </x:c>
      <x:c r="H318" s="13" t="str">
        <x:v>Visa Prepare</x:v>
      </x:c>
      <x:c r="I318" s="13" t="str">
        <x:v>HĐLĐ, ĐKKD, thuế, sao kê, tài sản</x:v>
      </x:c>
      <x:c r="J318" s="13" t="str"/>
    </x:row>
    <x:row r="319">
      <x:c r="A319" s="13" t="str">
        <x:v>CHK-ST-0318</x:v>
      </x:c>
      <x:c r="B319" s="13" t="str">
        <x:v>NZ-STUDY-EXCHANGE</x:v>
      </x:c>
      <x:c r="C319" s="13" t="str">
        <x:v>New Zealand</x:v>
      </x:c>
      <x:c r="D319" s="13" t="str">
        <x:v>TRAVEL</x:v>
      </x:c>
      <x:c r="E319" s="13" t="str">
        <x:v>Bảo hiểm, booking, kế hoạch lưu trú</x:v>
      </x:c>
      <x:c r="F319" s="13" t="str">
        <x:v>Tùy diện</x:v>
      </x:c>
      <x:c r="G319" s="13" t="str">
        <x:v>Applicant</x:v>
      </x:c>
      <x:c r="H319" s="13" t="str">
        <x:v>Visa Prepare</x:v>
      </x:c>
      <x:c r="I319" s="13" t="str">
        <x:v>Đặc biệt với Schengen/Visitor study</x:v>
      </x:c>
      <x:c r="J319" s="13" t="str"/>
    </x:row>
    <x:row r="320">
      <x:c r="A320" s="13" t="str">
        <x:v>CHK-ST-0319</x:v>
      </x:c>
      <x:c r="B320" s="13" t="str">
        <x:v>NZ-STUDY-EXCHANGE</x:v>
      </x:c>
      <x:c r="C320" s="13" t="str">
        <x:v>New Zealand</x:v>
      </x:c>
      <x:c r="D320" s="13" t="str">
        <x:v>MEDICAL</x:v>
      </x:c>
      <x:c r="E320" s="13" t="str">
        <x:v>Khám sức khỏe/Lao phổi/Chest X-ray</x:v>
      </x:c>
      <x:c r="F320" s="13" t="str">
        <x:v>Tùy diện</x:v>
      </x:c>
      <x:c r="G320" s="13" t="str">
        <x:v>Applicant</x:v>
      </x:c>
      <x:c r="H320" s="13" t="str">
        <x:v>Medical</x:v>
      </x:c>
      <x:c r="I320" s="13" t="str">
        <x:v>Canada/Úc/NZ/Hàn tùy trường hợp</x:v>
      </x:c>
      <x:c r="J320" s="13" t="str"/>
    </x:row>
    <x:row r="321">
      <x:c r="A321" s="13" t="str">
        <x:v>CHK-ST-0320</x:v>
      </x:c>
      <x:c r="B321" s="13" t="str">
        <x:v>NZ-STUDY-EXCHANGE</x:v>
      </x:c>
      <x:c r="C321" s="13" t="str">
        <x:v>New Zealand</x:v>
      </x:c>
      <x:c r="D321" s="13" t="str">
        <x:v>BIOMETRIC</x:v>
      </x:c>
      <x:c r="E321" s="13" t="str">
        <x:v>Sinh trắc học/Phỏng vấn</x:v>
      </x:c>
      <x:c r="F321" s="13" t="str">
        <x:v>Tùy diện</x:v>
      </x:c>
      <x:c r="G321" s="13" t="str">
        <x:v>Applicant</x:v>
      </x:c>
      <x:c r="H321" s="13" t="str">
        <x:v>Biometrics/Interview</x:v>
      </x:c>
      <x:c r="I321" s="13" t="str">
        <x:v>VAC/VFS/LSQ theo từng nước</x:v>
      </x:c>
      <x:c r="J321" s="13" t="str"/>
    </x:row>
    <x:row r="322">
      <x:c r="A322" s="13" t="str">
        <x:v>CHK-ST-0321</x:v>
      </x:c>
      <x:c r="B322" s="13" t="str">
        <x:v>NZ-STUDY-FOREIGN-DOMESTIC</x:v>
      </x:c>
      <x:c r="C322" s="13" t="str">
        <x:v>New Zealand</x:v>
      </x:c>
      <x:c r="D322" s="13" t="str">
        <x:v>PERSONAL</x:v>
      </x:c>
      <x:c r="E322" s="13" t="str">
        <x:v>Hộ chiếu còn hạn</x:v>
      </x:c>
      <x:c r="F322" s="13" t="str">
        <x:v>Bắt buộc</x:v>
      </x:c>
      <x:c r="G322" s="13" t="str">
        <x:v>Applicant</x:v>
      </x:c>
      <x:c r="H322" s="13" t="str">
        <x:v>Intake</x:v>
      </x:c>
      <x:c r="I322" s="13" t="str">
        <x:v>Scan màu đủ trang thông tin và lịch sử visa</x:v>
      </x:c>
      <x:c r="J322" s="13" t="str"/>
    </x:row>
    <x:row r="323">
      <x:c r="A323" s="13" t="str">
        <x:v>CHK-ST-0322</x:v>
      </x:c>
      <x:c r="B323" s="13" t="str">
        <x:v>NZ-STUDY-FOREIGN-DOMESTIC</x:v>
      </x:c>
      <x:c r="C323" s="13" t="str">
        <x:v>New Zealand</x:v>
      </x:c>
      <x:c r="D323" s="13" t="str">
        <x:v>PERSONAL</x:v>
      </x:c>
      <x:c r="E323" s="13" t="str">
        <x:v>Ảnh thẻ đúng chuẩn lãnh sự</x:v>
      </x:c>
      <x:c r="F323" s="13" t="str">
        <x:v>Bắt buộc</x:v>
      </x:c>
      <x:c r="G323" s="13" t="str">
        <x:v>Applicant</x:v>
      </x:c>
      <x:c r="H323" s="13" t="str">
        <x:v>Visa Prepare</x:v>
      </x:c>
      <x:c r="I323" s="13" t="str">
        <x:v>Theo kích thước từng quốc gia</x:v>
      </x:c>
      <x:c r="J323" s="13" t="str"/>
    </x:row>
    <x:row r="324">
      <x:c r="A324" s="13" t="str">
        <x:v>CHK-ST-0323</x:v>
      </x:c>
      <x:c r="B324" s="13" t="str">
        <x:v>NZ-STUDY-FOREIGN-DOMESTIC</x:v>
      </x:c>
      <x:c r="C324" s="13" t="str">
        <x:v>New Zealand</x:v>
      </x:c>
      <x:c r="D324" s="13" t="str">
        <x:v>ACADEMIC</x:v>
      </x:c>
      <x:c r="E324" s="13" t="str">
        <x:v>Bằng cấp/Bảng điểm gần nhất</x:v>
      </x:c>
      <x:c r="F324" s="13" t="str">
        <x:v>Bắt buộc</x:v>
      </x:c>
      <x:c r="G324" s="13" t="str">
        <x:v>Applicant</x:v>
      </x:c>
      <x:c r="H324" s="13" t="str">
        <x:v>Counselling</x:v>
      </x:c>
      <x:c r="I324" s="13" t="str">
        <x:v>Dịch thuật công chứng nếu cần</x:v>
      </x:c>
      <x:c r="J324" s="13" t="str"/>
    </x:row>
    <x:row r="325">
      <x:c r="A325" s="13" t="str">
        <x:v>CHK-ST-0324</x:v>
      </x:c>
      <x:c r="B325" s="13" t="str">
        <x:v>NZ-STUDY-FOREIGN-DOMESTIC</x:v>
      </x:c>
      <x:c r="C325" s="13" t="str">
        <x:v>New Zealand</x:v>
      </x:c>
      <x:c r="D325" s="13" t="str">
        <x:v>ACADEMIC</x:v>
      </x:c>
      <x:c r="E325" s="13" t="str">
        <x:v>Kế hoạch học tập/SOP/Study Plan</x:v>
      </x:c>
      <x:c r="F325" s="13" t="str">
        <x:v>Bắt buộc</x:v>
      </x:c>
      <x:c r="G325" s="13" t="str">
        <x:v>Applicant</x:v>
      </x:c>
      <x:c r="H325" s="13" t="str">
        <x:v>Visa Prepare</x:v>
      </x:c>
      <x:c r="I325" s="13" t="str">
        <x:v>Theo quốc gia: GS/GTE/Study Plan/SOP</x:v>
      </x:c>
      <x:c r="J325" s="13" t="str">
        <x:v>SOP Template</x:v>
      </x:c>
    </x:row>
    <x:row r="326">
      <x:c r="A326" s="13" t="str">
        <x:v>CHK-ST-0325</x:v>
      </x:c>
      <x:c r="B326" s="13" t="str">
        <x:v>NZ-STUDY-FOREIGN-DOMESTIC</x:v>
      </x:c>
      <x:c r="C326" s="13" t="str">
        <x:v>New Zealand</x:v>
      </x:c>
      <x:c r="D326" s="13" t="str">
        <x:v>ADMISSION</x:v>
      </x:c>
      <x:c r="E326" s="13" t="str">
        <x:v>Thư mời nhập học/LOA/COE/CAS/I-20</x:v>
      </x:c>
      <x:c r="F326" s="13" t="str">
        <x:v>Bắt buộc</x:v>
      </x:c>
      <x:c r="G326" s="13" t="str">
        <x:v>Applicant</x:v>
      </x:c>
      <x:c r="H326" s="13" t="str">
        <x:v>Offer/LOA</x:v>
      </x:c>
      <x:c r="I326" s="13" t="str">
        <x:v>Tên gọi thay đổi theo quốc gia</x:v>
      </x:c>
      <x:c r="J326" s="13" t="str"/>
    </x:row>
    <x:row r="327">
      <x:c r="A327" s="13" t="str">
        <x:v>CHK-ST-0326</x:v>
      </x:c>
      <x:c r="B327" s="13" t="str">
        <x:v>NZ-STUDY-FOREIGN-DOMESTIC</x:v>
      </x:c>
      <x:c r="C327" s="13" t="str">
        <x:v>New Zealand</x:v>
      </x:c>
      <x:c r="D327" s="13" t="str">
        <x:v>FINANCE</x:v>
      </x:c>
      <x:c r="E327" s="13" t="str">
        <x:v>Sổ tiết kiệm/Sao kê/GIC/Blocked Account</x:v>
      </x:c>
      <x:c r="F327" s="13" t="str">
        <x:v>Tùy diện</x:v>
      </x:c>
      <x:c r="G327" s="13" t="str">
        <x:v>Sponsor</x:v>
      </x:c>
      <x:c r="H327" s="13" t="str">
        <x:v>Visa Prepare</x:v>
      </x:c>
      <x:c r="I327" s="13" t="str">
        <x:v>Theo quy định từng nước và từng thời điểm</x:v>
      </x:c>
      <x:c r="J327" s="13" t="str"/>
    </x:row>
    <x:row r="328">
      <x:c r="A328" s="13" t="str">
        <x:v>CHK-ST-0327</x:v>
      </x:c>
      <x:c r="B328" s="13" t="str">
        <x:v>NZ-STUDY-FOREIGN-DOMESTIC</x:v>
      </x:c>
      <x:c r="C328" s="13" t="str">
        <x:v>New Zealand</x:v>
      </x:c>
      <x:c r="D328" s="13" t="str">
        <x:v>SPONSOR</x:v>
      </x:c>
      <x:c r="E328" s="13" t="str">
        <x:v>Giấy tờ người bảo lãnh tài chính</x:v>
      </x:c>
      <x:c r="F328" s="13" t="str">
        <x:v>Tùy diện</x:v>
      </x:c>
      <x:c r="G328" s="13" t="str">
        <x:v>Sponsor</x:v>
      </x:c>
      <x:c r="H328" s="13" t="str">
        <x:v>Visa Prepare</x:v>
      </x:c>
      <x:c r="I328" s="13" t="str">
        <x:v>HĐLĐ, ĐKKD, thuế, sao kê, tài sản</x:v>
      </x:c>
      <x:c r="J328" s="13" t="str"/>
    </x:row>
    <x:row r="329">
      <x:c r="A329" s="13" t="str">
        <x:v>CHK-ST-0328</x:v>
      </x:c>
      <x:c r="B329" s="13" t="str">
        <x:v>NZ-STUDY-FOREIGN-DOMESTIC</x:v>
      </x:c>
      <x:c r="C329" s="13" t="str">
        <x:v>New Zealand</x:v>
      </x:c>
      <x:c r="D329" s="13" t="str">
        <x:v>TRAVEL</x:v>
      </x:c>
      <x:c r="E329" s="13" t="str">
        <x:v>Bảo hiểm, booking, kế hoạch lưu trú</x:v>
      </x:c>
      <x:c r="F329" s="13" t="str">
        <x:v>Tùy diện</x:v>
      </x:c>
      <x:c r="G329" s="13" t="str">
        <x:v>Applicant</x:v>
      </x:c>
      <x:c r="H329" s="13" t="str">
        <x:v>Visa Prepare</x:v>
      </x:c>
      <x:c r="I329" s="13" t="str">
        <x:v>Đặc biệt với Schengen/Visitor study</x:v>
      </x:c>
      <x:c r="J329" s="13" t="str"/>
    </x:row>
    <x:row r="330">
      <x:c r="A330" s="13" t="str">
        <x:v>CHK-ST-0329</x:v>
      </x:c>
      <x:c r="B330" s="13" t="str">
        <x:v>NZ-STUDY-FOREIGN-DOMESTIC</x:v>
      </x:c>
      <x:c r="C330" s="13" t="str">
        <x:v>New Zealand</x:v>
      </x:c>
      <x:c r="D330" s="13" t="str">
        <x:v>MEDICAL</x:v>
      </x:c>
      <x:c r="E330" s="13" t="str">
        <x:v>Khám sức khỏe/Lao phổi/Chest X-ray</x:v>
      </x:c>
      <x:c r="F330" s="13" t="str">
        <x:v>Tùy diện</x:v>
      </x:c>
      <x:c r="G330" s="13" t="str">
        <x:v>Applicant</x:v>
      </x:c>
      <x:c r="H330" s="13" t="str">
        <x:v>Medical</x:v>
      </x:c>
      <x:c r="I330" s="13" t="str">
        <x:v>Canada/Úc/NZ/Hàn tùy trường hợp</x:v>
      </x:c>
      <x:c r="J330" s="13" t="str"/>
    </x:row>
    <x:row r="331">
      <x:c r="A331" s="13" t="str">
        <x:v>CHK-ST-0330</x:v>
      </x:c>
      <x:c r="B331" s="13" t="str">
        <x:v>NZ-STUDY-FOREIGN-DOMESTIC</x:v>
      </x:c>
      <x:c r="C331" s="13" t="str">
        <x:v>New Zealand</x:v>
      </x:c>
      <x:c r="D331" s="13" t="str">
        <x:v>BIOMETRIC</x:v>
      </x:c>
      <x:c r="E331" s="13" t="str">
        <x:v>Sinh trắc học/Phỏng vấn</x:v>
      </x:c>
      <x:c r="F331" s="13" t="str">
        <x:v>Tùy diện</x:v>
      </x:c>
      <x:c r="G331" s="13" t="str">
        <x:v>Applicant</x:v>
      </x:c>
      <x:c r="H331" s="13" t="str">
        <x:v>Biometrics/Interview</x:v>
      </x:c>
      <x:c r="I331" s="13" t="str">
        <x:v>VAC/VFS/LSQ theo từng nước</x:v>
      </x:c>
      <x:c r="J331" s="13" t="str"/>
    </x:row>
  </x:sheetData>
  <x:dataValidations count="2">
    <x:dataValidation type="list" sqref="F2:F500">
      <x:formula1>"Bắt buộc,Tùy diện,Khuyến nghị,Không áp dụng"</x:formula1>
    </x:dataValidation>
    <x:dataValidation type="list" sqref="H2:H500">
      <x:formula1>99_Lists!$H$2:$H$11</x:formula1>
    </x:dataValidation>
  </x:dataValidations>
  <x:pageMargins left="0.7" right="0.7" top="0.75" bottom="0.75" header="0.3" footer="0.3"/>
  <x:tableParts count="1">
    <x:tablePart xmlns:r="http://schemas.openxmlformats.org/officeDocument/2006/relationships" r:id="Rf6d74af703dc4e77"/>
  </x:tableParts>
</x:worksheet>
</file>

<file path=xl/worksheets/sheet4.xml><?xml version="1.0" encoding="utf-8"?>
<x:worksheet xmlns:x="http://schemas.openxmlformats.org/spreadsheetml/2006/main">
  <x:sheetFormatPr defaultRowHeight="15"/>
  <x:cols>
    <x:col min="1" max="1" width="16" hidden="0" customWidth="1"/>
    <x:col min="2" max="2" width="14" hidden="0" customWidth="1"/>
    <x:col min="3" max="3" width="24" hidden="0" customWidth="1"/>
    <x:col min="4" max="4" width="32" hidden="0" customWidth="1"/>
    <x:col min="5" max="5" width="28" hidden="0" customWidth="1"/>
    <x:col min="6" max="6" width="18" hidden="0" customWidth="1"/>
    <x:col min="7" max="7" width="18" hidden="0" customWidth="1"/>
    <x:col min="8" max="8" width="40" hidden="0" customWidth="1"/>
  </x:cols>
  <x:sheetData>
    <x:row r="1">
      <x:c r="A1" s="72" t="str">
        <x:v>Form ID</x:v>
      </x:c>
      <x:c r="B1" s="72" t="str">
        <x:v>Country</x:v>
      </x:c>
      <x:c r="C1" s="72" t="str">
        <x:v>Visa Code/Group</x:v>
      </x:c>
      <x:c r="D1" s="72" t="str">
        <x:v>Form/Platform</x:v>
      </x:c>
      <x:c r="E1" s="72" t="str">
        <x:v>Purpose</x:v>
      </x:c>
      <x:c r="F1" s="72" t="str">
        <x:v>Owner Team</x:v>
      </x:c>
      <x:c r="G1" s="72" t="str">
        <x:v>Stage</x:v>
      </x:c>
      <x:c r="H1" s="72" t="str">
        <x:v>Official/Source Note</x:v>
      </x:c>
      <x:c r="I1" s="13"/>
      <x:c r="J1" s="13"/>
      <x:c r="K1" s="13"/>
      <x:c r="L1" s="13"/>
      <x:c r="M1" s="13"/>
      <x:c r="N1" s="13"/>
      <x:c r="O1" s="13"/>
      <x:c r="P1" s="13"/>
      <x:c r="Q1" s="13"/>
      <x:c r="R1" s="13"/>
      <x:c r="S1" s="13"/>
      <x:c r="T1" s="13"/>
      <x:c r="U1" s="13"/>
      <x:c r="V1" s="13"/>
      <x:c r="W1" s="13"/>
      <x:c r="X1" s="13"/>
      <x:c r="Y1" s="13"/>
      <x:c r="Z1" s="13"/>
    </x:row>
    <x:row r="2">
      <x:c r="A2" s="13" t="str">
        <x:v>FORM-KR-001</x:v>
      </x:c>
      <x:c r="B2" s="13" t="str">
        <x:v>Hàn Quốc</x:v>
      </x:c>
      <x:c r="C2" s="13" t="str">
        <x:v>KR-STUDY-*</x:v>
      </x:c>
      <x:c r="D2" s="13" t="str">
        <x:v>Visa Application Form/Korea Visa Portal</x:v>
      </x:c>
      <x:c r="E2" s="13" t="str">
        <x:v>Đơn xin visa Hàn Quốc</x:v>
      </x:c>
      <x:c r="F2" s="13" t="str">
        <x:v>Hồ sơ Hàn</x:v>
      </x:c>
      <x:c r="G2" s="13" t="str">
        <x:v>Visa Prepare</x:v>
      </x:c>
      <x:c r="H2" s="13" t="str">
        <x:v>Cần kiểm tra bản mới nhất tại Korea Visa Portal/KVAC</x:v>
      </x:c>
    </x:row>
    <x:row r="3">
      <x:c r="A3" s="13" t="str">
        <x:v>FORM-JP-001</x:v>
      </x:c>
      <x:c r="B3" s="13" t="str">
        <x:v>Nhật Bản</x:v>
      </x:c>
      <x:c r="C3" s="13" t="str">
        <x:v>JP-STUDY-*</x:v>
      </x:c>
      <x:c r="D3" s="13" t="str">
        <x:v>COE + Visa Application</x:v>
      </x:c>
      <x:c r="E3" s="13" t="str">
        <x:v>Tư cách lưu trú và visa</x:v>
      </x:c>
      <x:c r="F3" s="13" t="str">
        <x:v>Hồ sơ Nhật</x:v>
      </x:c>
      <x:c r="G3" s="13" t="str">
        <x:v>Admission/Visa</x:v>
      </x:c>
      <x:c r="H3" s="13" t="str">
        <x:v>Immigration Services Agency/Embassy</x:v>
      </x:c>
    </x:row>
    <x:row r="4">
      <x:c r="A4" s="13" t="str">
        <x:v>FORM-CN-001</x:v>
      </x:c>
      <x:c r="B4" s="13" t="str">
        <x:v>Trung Quốc</x:v>
      </x:c>
      <x:c r="C4" s="13" t="str">
        <x:v>CN-STUDY-X1/X2</x:v>
      </x:c>
      <x:c r="D4" s="13" t="str">
        <x:v>JW201/JW202 + Visa Form</x:v>
      </x:c>
      <x:c r="E4" s="13" t="str">
        <x:v>Du học Trung Quốc</x:v>
      </x:c>
      <x:c r="F4" s="13" t="str">
        <x:v>Hồ sơ Trung Quốc</x:v>
      </x:c>
      <x:c r="G4" s="13" t="str">
        <x:v>Admission/Visa</x:v>
      </x:c>
      <x:c r="H4" s="13" t="str">
        <x:v>Theo trường và Đại sứ quán Trung Quốc</x:v>
      </x:c>
    </x:row>
    <x:row r="5">
      <x:c r="A5" s="13" t="str">
        <x:v>FORM-TW-001</x:v>
      </x:c>
      <x:c r="B5" s="13" t="str">
        <x:v>Đài Loan</x:v>
      </x:c>
      <x:c r="C5" s="13" t="str">
        <x:v>TW-STUDY-*</x:v>
      </x:c>
      <x:c r="D5" s="13" t="str">
        <x:v>BOCA/TECO visa form</x:v>
      </x:c>
      <x:c r="E5" s="13" t="str">
        <x:v>Du học Đài Loan</x:v>
      </x:c>
      <x:c r="F5" s="13" t="str">
        <x:v>Hồ sơ Đài Loan</x:v>
      </x:c>
      <x:c r="G5" s="13" t="str">
        <x:v>Visa Prepare</x:v>
      </x:c>
      <x:c r="H5" s="13" t="str">
        <x:v>Theo BOCA/TECO</x:v>
      </x:c>
    </x:row>
    <x:row r="6">
      <x:c r="A6" s="13" t="str">
        <x:v>FORM-DE-001</x:v>
      </x:c>
      <x:c r="B6" s="13" t="str">
        <x:v>Đức</x:v>
      </x:c>
      <x:c r="C6" s="13" t="str">
        <x:v>DE-STUDY-*</x:v>
      </x:c>
      <x:c r="D6" s="13" t="str">
        <x:v>VIDEX + National Visa Documents</x:v>
      </x:c>
      <x:c r="E6" s="13" t="str">
        <x:v>Visa Đức dài hạn</x:v>
      </x:c>
      <x:c r="F6" s="13" t="str">
        <x:v>Hồ sơ Đức</x:v>
      </x:c>
      <x:c r="G6" s="13" t="str">
        <x:v>Visa Prepare</x:v>
      </x:c>
      <x:c r="H6" s="13" t="str">
        <x:v>German Missions/VFS</x:v>
      </x:c>
    </x:row>
    <x:row r="7">
      <x:c r="A7" s="13" t="str">
        <x:v>FORM-SCH-001</x:v>
      </x:c>
      <x:c r="B7" s="13" t="str">
        <x:v>Schengen</x:v>
      </x:c>
      <x:c r="C7" s="13" t="str">
        <x:v>SCH-STUDY-SHORT-C</x:v>
      </x:c>
      <x:c r="D7" s="13" t="str">
        <x:v>Schengen Visa Form</x:v>
      </x:c>
      <x:c r="E7" s="13" t="str">
        <x:v>Khóa học ngắn hạn dưới 90 ngày</x:v>
      </x:c>
      <x:c r="F7" s="13" t="str">
        <x:v>Visa Schengen</x:v>
      </x:c>
      <x:c r="G7" s="13" t="str">
        <x:v>Visa Prepare</x:v>
      </x:c>
      <x:c r="H7" s="13" t="str">
        <x:v>VFS/Embassy by country</x:v>
      </x:c>
    </x:row>
    <x:row r="8">
      <x:c r="A8" s="13" t="str">
        <x:v>FORM-UK-001</x:v>
      </x:c>
      <x:c r="B8" s="13" t="str">
        <x:v>Anh Quốc</x:v>
      </x:c>
      <x:c r="C8" s="13" t="str">
        <x:v>UK-STUDY-*</x:v>
      </x:c>
      <x:c r="D8" s="13" t="str">
        <x:v>UKVI Online + CAS</x:v>
      </x:c>
      <x:c r="E8" s="13" t="str">
        <x:v>Student/Child/Short-term</x:v>
      </x:c>
      <x:c r="F8" s="13" t="str">
        <x:v>Hồ sơ UK</x:v>
      </x:c>
      <x:c r="G8" s="13" t="str">
        <x:v>Visa Prepare</x:v>
      </x:c>
      <x:c r="H8" s="13" t="str">
        <x:v>UKVI</x:v>
      </x:c>
    </x:row>
    <x:row r="9">
      <x:c r="A9" s="13" t="str">
        <x:v>FORM-US-001</x:v>
      </x:c>
      <x:c r="B9" s="13" t="str">
        <x:v>Mỹ</x:v>
      </x:c>
      <x:c r="C9" s="13" t="str">
        <x:v>US-STUDY-F1/M1/J1</x:v>
      </x:c>
      <x:c r="D9" s="13" t="str">
        <x:v>DS-160 + SEVIS + I-20/DS-2019</x:v>
      </x:c>
      <x:c r="E9" s="13" t="str">
        <x:v>Visa du học Mỹ</x:v>
      </x:c>
      <x:c r="F9" s="13" t="str">
        <x:v>Hồ sơ Mỹ</x:v>
      </x:c>
      <x:c r="G9" s="13" t="str">
        <x:v>Visa Prepare</x:v>
      </x:c>
      <x:c r="H9" s="13" t="str">
        <x:v>CEAC/US Travel Docs</x:v>
      </x:c>
    </x:row>
    <x:row r="10">
      <x:c r="A10" s="13" t="str">
        <x:v>FORM-AU-001</x:v>
      </x:c>
      <x:c r="B10" s="13" t="str">
        <x:v>Úc</x:v>
      </x:c>
      <x:c r="C10" s="13" t="str">
        <x:v>AU-STUDY-*</x:v>
      </x:c>
      <x:c r="D10" s="13" t="str">
        <x:v>ImmiAccount + COE</x:v>
      </x:c>
      <x:c r="E10" s="13" t="str">
        <x:v>Subclass 500/590</x:v>
      </x:c>
      <x:c r="F10" s="13" t="str">
        <x:v>Hồ sơ Úc</x:v>
      </x:c>
      <x:c r="G10" s="13" t="str">
        <x:v>Visa Prepare</x:v>
      </x:c>
      <x:c r="H10" s="13" t="str">
        <x:v>Department of Home Affairs</x:v>
      </x:c>
    </x:row>
    <x:row r="11">
      <x:c r="A11" s="13" t="str">
        <x:v>FORM-CA-001</x:v>
      </x:c>
      <x:c r="B11" s="13" t="str">
        <x:v>Canada</x:v>
      </x:c>
      <x:c r="C11" s="13" t="str">
        <x:v>CA-STUDY-*</x:v>
      </x:c>
      <x:c r="D11" s="13" t="str">
        <x:v>IRCC Portal/GCKey + LOA/PAL/TAL</x:v>
      </x:c>
      <x:c r="E11" s="13" t="str">
        <x:v>Study Permit/TRV</x:v>
      </x:c>
      <x:c r="F11" s="13" t="str">
        <x:v>Hồ sơ Canada</x:v>
      </x:c>
      <x:c r="G11" s="13" t="str">
        <x:v>Visa Prepare</x:v>
      </x:c>
      <x:c r="H11" s="13" t="str">
        <x:v>IRCC</x:v>
      </x:c>
    </x:row>
    <x:row r="12">
      <x:c r="A12" s="13" t="str">
        <x:v>FORM-NZ-001</x:v>
      </x:c>
      <x:c r="B12" s="13" t="str">
        <x:v>New Zealand</x:v>
      </x:c>
      <x:c r="C12" s="13" t="str">
        <x:v>NZ-STUDY-*</x:v>
      </x:c>
      <x:c r="D12" s="13" t="str">
        <x:v>Immigration NZ Online</x:v>
      </x:c>
      <x:c r="E12" s="13" t="str">
        <x:v>Student Visa NZ</x:v>
      </x:c>
      <x:c r="F12" s="13" t="str">
        <x:v>Hồ sơ NZ</x:v>
      </x:c>
      <x:c r="G12" s="13" t="str">
        <x:v>Visa Prepare</x:v>
      </x:c>
      <x:c r="H12" s="13" t="str">
        <x:v>Immigration New Zealand</x:v>
      </x:c>
    </x:row>
  </x:sheetData>
  <x:pageMargins left="0.7" right="0.7" top="0.75" bottom="0.75" header="0.3" footer="0.3"/>
  <x:tableParts count="1">
    <x:tablePart xmlns:r="http://schemas.openxmlformats.org/officeDocument/2006/relationships" r:id="R03a03125fbde4484"/>
  </x:tableParts>
</x:worksheet>
</file>

<file path=xl/worksheets/sheet5.xml><?xml version="1.0" encoding="utf-8"?>
<x:worksheet xmlns:x="http://schemas.openxmlformats.org/spreadsheetml/2006/main">
  <x:sheetFormatPr defaultRowHeight="15"/>
  <x:cols>
    <x:col min="1" max="1" width="12" hidden="0" customWidth="1"/>
    <x:col min="2" max="2" width="14" hidden="0" customWidth="1"/>
    <x:col min="3" max="3" width="14" hidden="0" customWidth="1"/>
    <x:col min="4" max="4" width="32" hidden="0" customWidth="1"/>
    <x:col min="5" max="5" width="22" hidden="0" customWidth="1"/>
    <x:col min="6" max="6" width="22" hidden="0" customWidth="1"/>
    <x:col min="7" max="7" width="24" hidden="0" customWidth="1"/>
    <x:col min="8" max="8" width="20" hidden="0" customWidth="1"/>
    <x:col min="9" max="9" width="16" hidden="0" customWidth="1"/>
    <x:col min="10" max="10" width="18" hidden="0" customWidth="1"/>
    <x:col min="11" max="11" width="48" hidden="0" customWidth="1"/>
  </x:cols>
  <x:sheetData>
    <x:row r="1">
      <x:c r="A1" s="72" t="str">
        <x:v>Country Code</x:v>
      </x:c>
      <x:c r="B1" s="72" t="str">
        <x:v>Country</x:v>
      </x:c>
      <x:c r="C1" s="72" t="str">
        <x:v>Region</x:v>
      </x:c>
      <x:c r="D1" s="72" t="str">
        <x:v>Main Authority/Portal</x:v>
      </x:c>
      <x:c r="E1" s="72" t="str">
        <x:v>VAC/VFS/KVAC</x:v>
      </x:c>
      <x:c r="F1" s="72" t="str">
        <x:v>Key Document</x:v>
      </x:c>
      <x:c r="G1" s="72" t="str">
        <x:v>Financial Keyword</x:v>
      </x:c>
      <x:c r="H1" s="72" t="str">
        <x:v>Interview/Biometrics</x:v>
      </x:c>
      <x:c r="I1" s="72" t="str">
        <x:v>Policy Volatility</x:v>
      </x:c>
      <x:c r="J1" s="72" t="str">
        <x:v>Internal Owner</x:v>
      </x:c>
      <x:c r="K1" s="72" t="str">
        <x:v>Source URL</x:v>
      </x:c>
      <x:c r="L1" s="13"/>
      <x:c r="M1" s="13"/>
      <x:c r="N1" s="13"/>
      <x:c r="O1" s="13"/>
      <x:c r="P1" s="13"/>
      <x:c r="Q1" s="13"/>
      <x:c r="R1" s="13"/>
      <x:c r="S1" s="13"/>
      <x:c r="T1" s="13"/>
      <x:c r="U1" s="13"/>
      <x:c r="V1" s="13"/>
      <x:c r="W1" s="13"/>
      <x:c r="X1" s="13"/>
      <x:c r="Y1" s="13"/>
      <x:c r="Z1" s="13"/>
    </x:row>
    <x:row r="2">
      <x:c r="A2" s="13" t="str">
        <x:v>KR</x:v>
      </x:c>
      <x:c r="B2" s="13" t="str">
        <x:v>Hàn Quốc</x:v>
      </x:c>
      <x:c r="C2" s="13" t="str">
        <x:v>Đông Á</x:v>
      </x:c>
      <x:c r="D2" s="13" t="str">
        <x:v>Korea Visa Portal / Embassy</x:v>
      </x:c>
      <x:c r="E2" s="13" t="str">
        <x:v>KVAC/LSQ</x:v>
      </x:c>
      <x:c r="F2" s="13" t="str">
        <x:v>Admission/Certificate of Admission</x:v>
      </x:c>
      <x:c r="G2" s="13" t="str">
        <x:v>Bank balance/sponsor</x:v>
      </x:c>
      <x:c r="H2" s="13" t="str">
        <x:v>Có thể phỏng vấn/sinh trắc tùy quy định</x:v>
      </x:c>
      <x:c r="I2" s="13" t="str">
        <x:v>Medium</x:v>
      </x:c>
      <x:c r="J2" s="13" t="str">
        <x:v>Team Korea</x:v>
      </x:c>
      <x:c r="K2" s="13" t="str">
        <x:v>https://www.visa.go.kr/</x:v>
      </x:c>
    </x:row>
    <x:row r="3">
      <x:c r="A3" s="13" t="str">
        <x:v>JP</x:v>
      </x:c>
      <x:c r="B3" s="13" t="str">
        <x:v>Nhật Bản</x:v>
      </x:c>
      <x:c r="C3" s="13" t="str">
        <x:v>Đông Á</x:v>
      </x:c>
      <x:c r="D3" s="13" t="str">
        <x:v>Immigration Services Agency / Embassy</x:v>
      </x:c>
      <x:c r="E3" s="13" t="str">
        <x:v>Embassy/Consulate</x:v>
      </x:c>
      <x:c r="F3" s="13" t="str">
        <x:v>COE</x:v>
      </x:c>
      <x:c r="G3" s="13" t="str">
        <x:v>Sponsor finance</x:v>
      </x:c>
      <x:c r="H3" s="13" t="str">
        <x:v>Theo LSQ</x:v>
      </x:c>
      <x:c r="I3" s="13" t="str">
        <x:v>Medium</x:v>
      </x:c>
      <x:c r="J3" s="13" t="str">
        <x:v>Team Japan</x:v>
      </x:c>
      <x:c r="K3" s="13" t="str">
        <x:v>https://www.moj.go.jp/isa/</x:v>
      </x:c>
    </x:row>
    <x:row r="4">
      <x:c r="A4" s="13" t="str">
        <x:v>CN</x:v>
      </x:c>
      <x:c r="B4" s="13" t="str">
        <x:v>Trung Quốc</x:v>
      </x:c>
      <x:c r="C4" s="13" t="str">
        <x:v>Đông Á</x:v>
      </x:c>
      <x:c r="D4" s="13" t="str">
        <x:v>Chinese Visa Center/Embassy</x:v>
      </x:c>
      <x:c r="E4" s="13" t="str">
        <x:v>Visa Center</x:v>
      </x:c>
      <x:c r="F4" s="13" t="str">
        <x:v>JW201/JW202</x:v>
      </x:c>
      <x:c r="G4" s="13" t="str">
        <x:v>Bank statement</x:v>
      </x:c>
      <x:c r="H4" s="13" t="str">
        <x:v>Theo LSQ</x:v>
      </x:c>
      <x:c r="I4" s="13" t="str">
        <x:v>Medium</x:v>
      </x:c>
      <x:c r="J4" s="13" t="str">
        <x:v>Team China</x:v>
      </x:c>
      <x:c r="K4" s="13" t="str">
        <x:v>https://www.visaforchina.cn/</x:v>
      </x:c>
    </x:row>
    <x:row r="5">
      <x:c r="A5" s="13" t="str">
        <x:v>TW</x:v>
      </x:c>
      <x:c r="B5" s="13" t="str">
        <x:v>Đài Loan</x:v>
      </x:c>
      <x:c r="C5" s="13" t="str">
        <x:v>Đông Á</x:v>
      </x:c>
      <x:c r="D5" s="13" t="str">
        <x:v>BOCA/TECO</x:v>
      </x:c>
      <x:c r="E5" s="13" t="str">
        <x:v>TECO</x:v>
      </x:c>
      <x:c r="F5" s="13" t="str">
        <x:v>Admission</x:v>
      </x:c>
      <x:c r="G5" s="13" t="str">
        <x:v>Financial proof</x:v>
      </x:c>
      <x:c r="H5" s="13" t="str">
        <x:v>Theo TECO</x:v>
      </x:c>
      <x:c r="I5" s="13" t="str">
        <x:v>Medium</x:v>
      </x:c>
      <x:c r="J5" s="13" t="str">
        <x:v>Team Taiwan</x:v>
      </x:c>
      <x:c r="K5" s="13" t="str">
        <x:v>https://www.boca.gov.tw/</x:v>
      </x:c>
    </x:row>
    <x:row r="6">
      <x:c r="A6" s="13" t="str">
        <x:v>DE</x:v>
      </x:c>
      <x:c r="B6" s="13" t="str">
        <x:v>Đức</x:v>
      </x:c>
      <x:c r="C6" s="13" t="str">
        <x:v>Châu Âu</x:v>
      </x:c>
      <x:c r="D6" s="13" t="str">
        <x:v>German Missions / VIDEX</x:v>
      </x:c>
      <x:c r="E6" s="13" t="str">
        <x:v>VFS/Embassy</x:v>
      </x:c>
      <x:c r="F6" s="13" t="str">
        <x:v>Admission/Contract</x:v>
      </x:c>
      <x:c r="G6" s="13" t="str">
        <x:v>Blocked account</x:v>
      </x:c>
      <x:c r="H6" s="13" t="str">
        <x:v>Sinh trắc/phỏng vấn</x:v>
      </x:c>
      <x:c r="I6" s="13" t="str">
        <x:v>High</x:v>
      </x:c>
      <x:c r="J6" s="13" t="str">
        <x:v>Team Germany</x:v>
      </x:c>
      <x:c r="K6" s="13" t="str">
        <x:v>https://videx.diplo.de/</x:v>
      </x:c>
    </x:row>
    <x:row r="7">
      <x:c r="A7" s="13" t="str">
        <x:v>SCH</x:v>
      </x:c>
      <x:c r="B7" s="13" t="str">
        <x:v>Schengen</x:v>
      </x:c>
      <x:c r="C7" s="13" t="str">
        <x:v>Schengen</x:v>
      </x:c>
      <x:c r="D7" s="13" t="str">
        <x:v>Embassy/VFS by country</x:v>
      </x:c>
      <x:c r="E7" s="13" t="str">
        <x:v>VFS/TLS/Embassy</x:v>
      </x:c>
      <x:c r="F7" s="13" t="str">
        <x:v>Invitation/Admission</x:v>
      </x:c>
      <x:c r="G7" s="13" t="str">
        <x:v>Financial proof</x:v>
      </x:c>
      <x:c r="H7" s="13" t="str">
        <x:v>Biometrics</x:v>
      </x:c>
      <x:c r="I7" s="13" t="str">
        <x:v>High</x:v>
      </x:c>
      <x:c r="J7" s="13" t="str">
        <x:v>Team Europe</x:v>
      </x:c>
      <x:c r="K7" s="13" t="str">
        <x:v>https://home-affairs.ec.europa.eu/</x:v>
      </x:c>
    </x:row>
    <x:row r="8">
      <x:c r="A8" s="13" t="str">
        <x:v>UK</x:v>
      </x:c>
      <x:c r="B8" s="13" t="str">
        <x:v>Anh Quốc</x:v>
      </x:c>
      <x:c r="C8" s="13" t="str">
        <x:v>Châu Âu</x:v>
      </x:c>
      <x:c r="D8" s="13" t="str">
        <x:v>UKVI</x:v>
      </x:c>
      <x:c r="E8" s="13" t="str">
        <x:v>VAC</x:v>
      </x:c>
      <x:c r="F8" s="13" t="str">
        <x:v>CAS</x:v>
      </x:c>
      <x:c r="G8" s="13" t="str">
        <x:v>Maintenance funds</x:v>
      </x:c>
      <x:c r="H8" s="13" t="str">
        <x:v>Biometrics</x:v>
      </x:c>
      <x:c r="I8" s="13" t="str">
        <x:v>High</x:v>
      </x:c>
      <x:c r="J8" s="13" t="str">
        <x:v>Team UK</x:v>
      </x:c>
      <x:c r="K8" s="13" t="str">
        <x:v>https://www.gov.uk/student-visa</x:v>
      </x:c>
    </x:row>
    <x:row r="9">
      <x:c r="A9" s="13" t="str">
        <x:v>US</x:v>
      </x:c>
      <x:c r="B9" s="13" t="str">
        <x:v>Mỹ</x:v>
      </x:c>
      <x:c r="C9" s="13" t="str">
        <x:v>Anh ngữ</x:v>
      </x:c>
      <x:c r="D9" s="13" t="str">
        <x:v>CEAC / US Travel Docs</x:v>
      </x:c>
      <x:c r="E9" s="13" t="str">
        <x:v>US Embassy/Consulate</x:v>
      </x:c>
      <x:c r="F9" s="13" t="str">
        <x:v>I-20/DS-2019</x:v>
      </x:c>
      <x:c r="G9" s="13" t="str">
        <x:v>Sponsor finance</x:v>
      </x:c>
      <x:c r="H9" s="13" t="str">
        <x:v>Interview required</x:v>
      </x:c>
      <x:c r="I9" s="13" t="str">
        <x:v>High</x:v>
      </x:c>
      <x:c r="J9" s="13" t="str">
        <x:v>Team US</x:v>
      </x:c>
      <x:c r="K9" s="13" t="str">
        <x:v>https://ceac.state.gov/</x:v>
      </x:c>
    </x:row>
    <x:row r="10">
      <x:c r="A10" s="13" t="str">
        <x:v>AU</x:v>
      </x:c>
      <x:c r="B10" s="13" t="str">
        <x:v>Úc</x:v>
      </x:c>
      <x:c r="C10" s="13" t="str">
        <x:v>Anh ngữ</x:v>
      </x:c>
      <x:c r="D10" s="13" t="str">
        <x:v>ImmiAccount / DOHA</x:v>
      </x:c>
      <x:c r="E10" s="13" t="str">
        <x:v>AVAC/VFS</x:v>
      </x:c>
      <x:c r="F10" s="13" t="str">
        <x:v>COE</x:v>
      </x:c>
      <x:c r="G10" s="13" t="str">
        <x:v>Financial capacity/GS</x:v>
      </x:c>
      <x:c r="H10" s="13" t="str">
        <x:v>Biometrics/medical</x:v>
      </x:c>
      <x:c r="I10" s="13" t="str">
        <x:v>High</x:v>
      </x:c>
      <x:c r="J10" s="13" t="str">
        <x:v>Team Australia</x:v>
      </x:c>
      <x:c r="K10" s="13" t="str">
        <x:v>https://immi.homeaffairs.gov.au/</x:v>
      </x:c>
    </x:row>
    <x:row r="11">
      <x:c r="A11" s="13" t="str">
        <x:v>CA</x:v>
      </x:c>
      <x:c r="B11" s="13" t="str">
        <x:v>Canada</x:v>
      </x:c>
      <x:c r="C11" s="13" t="str">
        <x:v>Anh ngữ</x:v>
      </x:c>
      <x:c r="D11" s="13" t="str">
        <x:v>IRCC Portal/GCKey</x:v>
      </x:c>
      <x:c r="E11" s="13" t="str">
        <x:v>VAC</x:v>
      </x:c>
      <x:c r="F11" s="13" t="str">
        <x:v>LOA/PAL/TAL</x:v>
      </x:c>
      <x:c r="G11" s="13" t="str">
        <x:v>Proof of funds/GIC</x:v>
      </x:c>
      <x:c r="H11" s="13" t="str">
        <x:v>Biometrics/medical</x:v>
      </x:c>
      <x:c r="I11" s="13" t="str">
        <x:v>Very High</x:v>
      </x:c>
      <x:c r="J11" s="13" t="str">
        <x:v>Team Canada</x:v>
      </x:c>
      <x:c r="K11" s="13" t="str">
        <x:v>https://www.canada.ca/en/immigration-refugees-citizenship.html</x:v>
      </x:c>
    </x:row>
    <x:row r="12">
      <x:c r="A12" s="13" t="str">
        <x:v>NZ</x:v>
      </x:c>
      <x:c r="B12" s="13" t="str">
        <x:v>New Zealand</x:v>
      </x:c>
      <x:c r="C12" s="13" t="str">
        <x:v>Anh ngữ</x:v>
      </x:c>
      <x:c r="D12" s="13" t="str">
        <x:v>Immigration NZ</x:v>
      </x:c>
      <x:c r="E12" s="13" t="str">
        <x:v>VAC if applicable</x:v>
      </x:c>
      <x:c r="F12" s="13" t="str">
        <x:v>Offer of place</x:v>
      </x:c>
      <x:c r="G12" s="13" t="str">
        <x:v>Funds/tuition</x:v>
      </x:c>
      <x:c r="H12" s="13" t="str">
        <x:v>Medical/chest x-ray</x:v>
      </x:c>
      <x:c r="I12" s="13" t="str">
        <x:v>Medium</x:v>
      </x:c>
      <x:c r="J12" s="13" t="str">
        <x:v>Team NZ</x:v>
      </x:c>
      <x:c r="K12" s="13" t="str">
        <x:v>https://www.immigration.govt.nz/</x:v>
      </x:c>
    </x:row>
  </x:sheetData>
  <x:pageMargins left="0.7" right="0.7" top="0.75" bottom="0.75" header="0.3" footer="0.3"/>
  <x:tableParts count="1">
    <x:tablePart xmlns:r="http://schemas.openxmlformats.org/officeDocument/2006/relationships" r:id="R4940657f2e79499f"/>
  </x:tableParts>
</x:worksheet>
</file>

<file path=xl/worksheets/sheet6.xml><?xml version="1.0" encoding="utf-8"?>
<x:worksheet xmlns:x="http://schemas.openxmlformats.org/spreadsheetml/2006/main">
  <x:sheetFormatPr defaultRowHeight="15"/>
  <x:cols>
    <x:col min="1" max="1" width="16" hidden="0" customWidth="1"/>
    <x:col min="2" max="2" width="14" hidden="0" customWidth="1"/>
    <x:col min="3" max="3" width="28" hidden="0" customWidth="1"/>
    <x:col min="4" max="4" width="18" hidden="0" customWidth="1"/>
    <x:col min="5" max="5" width="36" hidden="0" customWidth="1"/>
    <x:col min="6" max="6" width="14" hidden="0" customWidth="1"/>
    <x:col min="7" max="7" width="24" hidden="0" customWidth="1"/>
    <x:col min="8" max="8" width="24" hidden="0" customWidth="1"/>
    <x:col min="9" max="9" width="18" hidden="0" customWidth="1"/>
    <x:col min="10" max="10" width="30" hidden="0" customWidth="1"/>
    <x:col min="11" max="11" width="18" hidden="0" customWidth="1"/>
    <x:col min="12" max="12" width="36" hidden="0" customWidth="1"/>
  </x:cols>
  <x:sheetData>
    <x:row r="1">
      <x:c r="A1" s="72" t="str">
        <x:v>School ID</x:v>
      </x:c>
      <x:c r="B1" s="72" t="str">
        <x:v>Country</x:v>
      </x:c>
      <x:c r="C1" s="72" t="str">
        <x:v>Partner/School</x:v>
      </x:c>
      <x:c r="D1" s="72" t="str">
        <x:v>Type</x:v>
      </x:c>
      <x:c r="E1" s="72" t="str">
        <x:v>Programs</x:v>
      </x:c>
      <x:c r="F1" s="72" t="str">
        <x:v>Key Intake</x:v>
      </x:c>
      <x:c r="G1" s="72" t="str">
        <x:v>Language Requirement</x:v>
      </x:c>
      <x:c r="H1" s="72" t="str">
        <x:v>Deposit/Tuition Note</x:v>
      </x:c>
      <x:c r="I1" s="72" t="str">
        <x:v>Dormitory</x:v>
      </x:c>
      <x:c r="J1" s="72" t="str">
        <x:v>Risk/Opportunity</x:v>
      </x:c>
      <x:c r="K1" s="72" t="str">
        <x:v>HTO Owner</x:v>
      </x:c>
      <x:c r="L1" s="72" t="str">
        <x:v>Source/Note</x:v>
      </x:c>
      <x:c r="M1" s="13"/>
      <x:c r="N1" s="13"/>
      <x:c r="O1" s="13"/>
      <x:c r="P1" s="13"/>
      <x:c r="Q1" s="13"/>
      <x:c r="R1" s="13"/>
      <x:c r="S1" s="13"/>
      <x:c r="T1" s="13"/>
      <x:c r="U1" s="13"/>
      <x:c r="V1" s="13"/>
      <x:c r="W1" s="13"/>
      <x:c r="X1" s="13"/>
      <x:c r="Y1" s="13"/>
      <x:c r="Z1" s="13"/>
    </x:row>
    <x:row r="2">
      <x:c r="A2" s="13" t="str">
        <x:v>SCH-KR-HOSEO</x:v>
      </x:c>
      <x:c r="B2" s="13" t="str">
        <x:v>Hàn Quốc</x:v>
      </x:c>
      <x:c r="C2" s="13" t="str">
        <x:v>Hoseo University</x:v>
      </x:c>
      <x:c r="D2" s="13" t="str">
        <x:v>University</x:v>
      </x:c>
      <x:c r="E2" s="13" t="str">
        <x:v>D4-1/D2/AI/Semiconductor/Transfer</x:v>
      </x:c>
      <x:c r="F2" s="13" t="str">
        <x:v>Mar/Sep</x:v>
      </x:c>
      <x:c r="G2" s="13" t="str">
        <x:v>TOPIK/English tùy chương trình</x:v>
      </x:c>
      <x:c r="H2" s="13" t="str">
        <x:v>Theo offer từng năm</x:v>
      </x:c>
      <x:c r="I2" s="13" t="str">
        <x:v>Có thể có KTX</x:v>
      </x:c>
      <x:c r="J2" s="13" t="str">
        <x:v>Đối tác chiến lược, phù hợp chương trình AI/Bán dẫn</x:v>
      </x:c>
      <x:c r="K2" s="13" t="str">
        <x:v>Team Korea</x:v>
      </x:c>
      <x:c r="L2" s="13" t="str">
        <x:v>User-provided/news sources</x:v>
      </x:c>
    </x:row>
    <x:row r="3">
      <x:c r="A3" s="13" t="str">
        <x:v>SCH-KR-KOSIN</x:v>
      </x:c>
      <x:c r="B3" s="13" t="str">
        <x:v>Hàn Quốc</x:v>
      </x:c>
      <x:c r="C3" s="13" t="str">
        <x:v>Kosin University</x:v>
      </x:c>
      <x:c r="D3" s="13" t="str">
        <x:v>University</x:v>
      </x:c>
      <x:c r="E3" s="13" t="str">
        <x:v>D4-1/D2</x:v>
      </x:c>
      <x:c r="F3" s="13" t="str">
        <x:v>Mar/Sep</x:v>
      </x:c>
      <x:c r="G3" s="13" t="str">
        <x:v>Theo trường</x:v>
      </x:c>
      <x:c r="H3" s="13" t="str">
        <x:v>Theo offer</x:v>
      </x:c>
      <x:c r="I3" s="13" t="str">
        <x:v>Theo trường</x:v>
      </x:c>
      <x:c r="J3" s="13" t="str">
        <x:v>Phù hợp thị trường D4-1</x:v>
      </x:c>
      <x:c r="K3" s="13" t="str">
        <x:v>Team Korea</x:v>
      </x:c>
      <x:c r="L3" s="13" t="str">
        <x:v>User-provided</x:v>
      </x:c>
    </x:row>
    <x:row r="4">
      <x:c r="A4" s="13" t="str">
        <x:v>SCH-KR-CHOSUN</x:v>
      </x:c>
      <x:c r="B4" s="13" t="str">
        <x:v>Hàn Quốc</x:v>
      </x:c>
      <x:c r="C4" s="13" t="str">
        <x:v>Chosun University</x:v>
      </x:c>
      <x:c r="D4" s="13" t="str">
        <x:v>University</x:v>
      </x:c>
      <x:c r="E4" s="13" t="str">
        <x:v>D4-1/D2/Graduate</x:v>
      </x:c>
      <x:c r="F4" s="13" t="str">
        <x:v>Mar/Sep</x:v>
      </x:c>
      <x:c r="G4" s="13" t="str">
        <x:v>Theo trường</x:v>
      </x:c>
      <x:c r="H4" s="13" t="str">
        <x:v>Theo offer</x:v>
      </x:c>
      <x:c r="I4" s="13" t="str">
        <x:v>Theo trường</x:v>
      </x:c>
      <x:c r="J4" s="13" t="str">
        <x:v>Đối tác Hàn tiềm năng</x:v>
      </x:c>
      <x:c r="K4" s="13" t="str">
        <x:v>Team Korea</x:v>
      </x:c>
      <x:c r="L4" s="13" t="str">
        <x:v>User-provided</x:v>
      </x:c>
    </x:row>
    <x:row r="5">
      <x:c r="A5" s="13" t="str">
        <x:v>SCH-KR-SAHMYOOK</x:v>
      </x:c>
      <x:c r="B5" s="13" t="str">
        <x:v>Hàn Quốc</x:v>
      </x:c>
      <x:c r="C5" s="13" t="str">
        <x:v>Sahmyook University</x:v>
      </x:c>
      <x:c r="D5" s="13" t="str">
        <x:v>University</x:v>
      </x:c>
      <x:c r="E5" s="13" t="str">
        <x:v>D4-1/D2</x:v>
      </x:c>
      <x:c r="F5" s="13" t="str">
        <x:v>Mar/Sep</x:v>
      </x:c>
      <x:c r="G5" s="13" t="str">
        <x:v>Theo trường</x:v>
      </x:c>
      <x:c r="H5" s="13" t="str">
        <x:v>Theo offer</x:v>
      </x:c>
      <x:c r="I5" s="13" t="str">
        <x:v>Theo trường</x:v>
      </x:c>
      <x:c r="J5" s="13" t="str">
        <x:v>Phù hợp chiến lược Seoul/health/IT</x:v>
      </x:c>
      <x:c r="K5" s="13" t="str">
        <x:v>Team Korea</x:v>
      </x:c>
      <x:c r="L5" s="13" t="str">
        <x:v>User-provided</x:v>
      </x:c>
    </x:row>
    <x:row r="6">
      <x:c r="A6" s="13" t="str">
        <x:v>SCH-KR-SVU</x:v>
      </x:c>
      <x:c r="B6" s="13" t="str">
        <x:v>Hàn Quốc</x:v>
      </x:c>
      <x:c r="C6" s="13" t="str">
        <x:v>Seoul Venture University</x:v>
      </x:c>
      <x:c r="D6" s="13" t="str">
        <x:v>University</x:v>
      </x:c>
      <x:c r="E6" s="13" t="str">
        <x:v>Graduate/venture/AI</x:v>
      </x:c>
      <x:c r="F6" s="13" t="str">
        <x:v>Theo trường</x:v>
      </x:c>
      <x:c r="G6" s="13" t="str">
        <x:v>Theo trường</x:v>
      </x:c>
      <x:c r="H6" s="13" t="str">
        <x:v>Theo offer</x:v>
      </x:c>
      <x:c r="I6" s="13" t="str">
        <x:v>Theo trường</x:v>
      </x:c>
      <x:c r="J6" s="13" t="str">
        <x:v>Liên quan innovation/venture</x:v>
      </x:c>
      <x:c r="K6" s="13" t="str">
        <x:v>Team Korea</x:v>
      </x:c>
      <x:c r="L6" s="13" t="str">
        <x:v>User-provided</x:v>
      </x:c>
    </x:row>
    <x:row r="7">
      <x:c r="A7" s="13" t="str">
        <x:v>SCH-CA-SASKPOLY</x:v>
      </x:c>
      <x:c r="B7" s="13" t="str">
        <x:v>Canada</x:v>
      </x:c>
      <x:c r="C7" s="13" t="str">
        <x:v>Saskatchewan Polytechnic</x:v>
      </x:c>
      <x:c r="D7" s="13" t="str">
        <x:v>College/Polytechnic</x:v>
      </x:c>
      <x:c r="E7" s="13" t="str">
        <x:v>Diploma/Certificate/Co-op</x:v>
      </x:c>
      <x:c r="F7" s="13" t="str">
        <x:v>Jan/May/Sep</x:v>
      </x:c>
      <x:c r="G7" s="13" t="str">
        <x:v>IELTS/English theo chương trình</x:v>
      </x:c>
      <x:c r="H7" s="13" t="str">
        <x:v>Deposit theo invoice</x:v>
      </x:c>
      <x:c r="I7" s="13" t="str">
        <x:v>Theo campus</x:v>
      </x:c>
      <x:c r="J7" s="13" t="str">
        <x:v>PGWP/co-op tùy chương trình</x:v>
      </x:c>
      <x:c r="K7" s="13" t="str">
        <x:v>Team Canada</x:v>
      </x:c>
      <x:c r="L7" s="13" t="str">
        <x:v>User-provided</x:v>
      </x:c>
    </x:row>
    <x:row r="8">
      <x:c r="A8" s="13" t="str">
        <x:v>SCH-CA-ILAC</x:v>
      </x:c>
      <x:c r="B8" s="13" t="str">
        <x:v>Canada</x:v>
      </x:c>
      <x:c r="C8" s="13" t="str">
        <x:v>ILAC</x:v>
      </x:c>
      <x:c r="D8" s="13" t="str">
        <x:v>Language/Pathway</x:v>
      </x:c>
      <x:c r="E8" s="13" t="str">
        <x:v>ESL/Pathway</x:v>
      </x:c>
      <x:c r="F8" s="13" t="str">
        <x:v>Monthly</x:v>
      </x:c>
      <x:c r="G8" s="13" t="str">
        <x:v>Placement/IELTS</x:v>
      </x:c>
      <x:c r="H8" s="13" t="str">
        <x:v>Tuition receipt/invoice</x:v>
      </x:c>
      <x:c r="I8" s="13" t="str">
        <x:v>Homestay/residence</x:v>
      </x:c>
      <x:c r="J8" s="13" t="str">
        <x:v>Pathway vào college/university</x:v>
      </x:c>
      <x:c r="K8" s="13" t="str">
        <x:v>Team Canada</x:v>
      </x:c>
      <x:c r="L8" s="13" t="str">
        <x:v>User-provided</x:v>
      </x:c>
    </x:row>
    <x:row r="9">
      <x:c r="A9" s="13" t="str">
        <x:v>SCH-AU-GENERAL</x:v>
      </x:c>
      <x:c r="B9" s="13" t="str">
        <x:v>Úc</x:v>
      </x:c>
      <x:c r="C9" s="13" t="str">
        <x:v>Australian CRICOS Provider</x:v>
      </x:c>
      <x:c r="D9" s="13" t="str">
        <x:v>Provider</x:v>
      </x:c>
      <x:c r="E9" s="13" t="str">
        <x:v>ELICOS/VET/HE/PG</x:v>
      </x:c>
      <x:c r="F9" s="13" t="str">
        <x:v>Feb/Jul/Nov</x:v>
      </x:c>
      <x:c r="G9" s="13" t="str">
        <x:v>English theo COE</x:v>
      </x:c>
      <x:c r="H9" s="13" t="str">
        <x:v>COE/deposit</x:v>
      </x:c>
      <x:c r="I9" s="13" t="str">
        <x:v>Theo trường</x:v>
      </x:c>
      <x:c r="J9" s="13" t="str">
        <x:v>Cần GS/GTE mạnh</x:v>
      </x:c>
      <x:c r="K9" s="13" t="str">
        <x:v>Team Australia</x:v>
      </x:c>
      <x:c r="L9" s="13" t="str">
        <x:v>Template</x:v>
      </x:c>
    </x:row>
    <x:row r="10">
      <x:c r="A10" s="13" t="str">
        <x:v>SCH-DE-VET</x:v>
      </x:c>
      <x:c r="B10" s="13" t="str">
        <x:v>Đức</x:v>
      </x:c>
      <x:c r="C10" s="13" t="str">
        <x:v>Ausbildung Employer/School</x:v>
      </x:c>
      <x:c r="D10" s="13" t="str">
        <x:v>Employer/School</x:v>
      </x:c>
      <x:c r="E10" s="13" t="str">
        <x:v>Berufsausbildung</x:v>
      </x:c>
      <x:c r="F10" s="13" t="str">
        <x:v>Aug/Sep</x:v>
      </x:c>
      <x:c r="G10" s="13" t="str">
        <x:v>German B1/B2</x:v>
      </x:c>
      <x:c r="H10" s="13" t="str">
        <x:v>Contract/training salary</x:v>
      </x:c>
      <x:c r="I10" s="13" t="str">
        <x:v>Theo employer</x:v>
      </x:c>
      <x:c r="J10" s="13" t="str">
        <x:v>Pathway nghề có lương</x:v>
      </x:c>
      <x:c r="K10" s="13" t="str">
        <x:v>Team Germany</x:v>
      </x:c>
      <x:c r="L10" s="13" t="str">
        <x:v>Template</x:v>
      </x:c>
    </x:row>
  </x:sheetData>
  <x:pageMargins left="0.7" right="0.7" top="0.75" bottom="0.75" header="0.3" footer="0.3"/>
  <x:tableParts count="1">
    <x:tablePart xmlns:r="http://schemas.openxmlformats.org/officeDocument/2006/relationships" r:id="R9a53ad63012d4ede"/>
  </x:tableParts>
</x:worksheet>
</file>

<file path=xl/worksheets/sheet7.xml><?xml version="1.0" encoding="utf-8"?>
<x:worksheet xmlns:x="http://schemas.openxmlformats.org/spreadsheetml/2006/main">
  <x:sheetFormatPr defaultRowHeight="15"/>
  <x:cols>
    <x:col min="1" max="1" width="6" hidden="0" customWidth="1"/>
    <x:col min="2" max="2" width="24" hidden="0" customWidth="1"/>
    <x:col min="3" max="3" width="14" hidden="0" customWidth="1"/>
    <x:col min="4" max="4" width="14" hidden="0" customWidth="1"/>
    <x:col min="5" max="5" width="28" hidden="0" customWidth="1"/>
    <x:col min="6" max="6" width="10" hidden="0" customWidth="1"/>
    <x:col min="7" max="7" width="12" hidden="0" customWidth="1"/>
    <x:col min="8" max="8" width="16" hidden="0" customWidth="1"/>
    <x:col min="9" max="9" width="16" hidden="0" customWidth="1"/>
    <x:col min="10" max="10" width="16" hidden="0" customWidth="1"/>
    <x:col min="11" max="11" width="10" hidden="0" customWidth="1"/>
    <x:col min="12" max="12" width="10" hidden="0" customWidth="1"/>
    <x:col min="13" max="13" width="18" hidden="0" customWidth="1"/>
    <x:col min="14" max="14" width="18" hidden="0" customWidth="1"/>
    <x:col min="15" max="15" width="14" hidden="0" customWidth="1"/>
    <x:col min="16" max="16" width="14" hidden="0" customWidth="1"/>
    <x:col min="17" max="17" width="30" hidden="0" customWidth="1"/>
    <x:col min="18" max="18" width="24" hidden="0" customWidth="1"/>
    <x:col min="19" max="19" width="14" hidden="0" customWidth="1"/>
    <x:col min="20" max="20" width="14" hidden="0" customWidth="1"/>
    <x:col min="21" max="21" width="18" hidden="0" customWidth="1"/>
  </x:cols>
  <x:sheetData>
    <x:row r="1">
      <x:c r="A1" s="72" t="str">
        <x:v>STT</x:v>
      </x:c>
      <x:c r="B1" s="72" t="str">
        <x:v>Visa Code Chuẩn</x:v>
      </x:c>
      <x:c r="C1" s="72" t="str">
        <x:v>Mã ngắn</x:v>
      </x:c>
      <x:c r="D1" s="72" t="str">
        <x:v>Country</x:v>
      </x:c>
      <x:c r="E1" s="72" t="str">
        <x:v>Product Name</x:v>
      </x:c>
      <x:c r="F1" s="72" t="str">
        <x:v>Currency</x:v>
      </x:c>
      <x:c r="G1" s="72" t="str">
        <x:v>FX Rate</x:v>
      </x:c>
      <x:c r="H1" s="72" t="str">
        <x:v>Net Cost</x:v>
      </x:c>
      <x:c r="I1" s="72" t="str">
        <x:v>Agency Price</x:v>
      </x:c>
      <x:c r="J1" s="72" t="str">
        <x:v>Retail Price</x:v>
      </x:c>
      <x:c r="K1" s="72" t="str">
        <x:v>VAT %</x:v>
      </x:c>
      <x:c r="L1" s="72" t="str">
        <x:v>Taxable?</x:v>
      </x:c>
      <x:c r="M1" s="72" t="str">
        <x:v>Profit Agency VND</x:v>
      </x:c>
      <x:c r="N1" s="72" t="str">
        <x:v>Profit Retail VND</x:v>
      </x:c>
      <x:c r="O1" s="72" t="str">
        <x:v>Margin Agency</x:v>
      </x:c>
      <x:c r="P1" s="72" t="str">
        <x:v>Margin Retail</x:v>
      </x:c>
      <x:c r="Q1" s="72" t="str">
        <x:v>Commission Note</x:v>
      </x:c>
      <x:c r="R1" s="72" t="str">
        <x:v>Payment Milestone</x:v>
      </x:c>
      <x:c r="S1" s="72" t="str">
        <x:v>Price Status</x:v>
      </x:c>
      <x:c r="T1" s="72" t="str">
        <x:v>Updated Date</x:v>
      </x:c>
      <x:c r="U1" s="72" t="str">
        <x:v>Owner</x:v>
      </x:c>
      <x:c r="V1" s="13"/>
      <x:c r="W1" s="13"/>
      <x:c r="X1" s="13"/>
      <x:c r="Y1" s="13"/>
      <x:c r="Z1" s="13"/>
    </x:row>
    <x:row r="2">
      <x:c r="A2" s="13" t="n">
        <x:v>1</x:v>
      </x:c>
      <x:c r="B2" s="13" t="str">
        <x:v>KR-STUDY-LANG-D41</x:v>
      </x:c>
      <x:c r="C2" s="13" t="str">
        <x:v>VIS-KR-ST01</x:v>
      </x:c>
      <x:c r="D2" s="13" t="str">
        <x:v>Hàn Quốc</x:v>
      </x:c>
      <x:c r="E2" s="13" t="str">
        <x:v>Du học tiếng Hàn</x:v>
      </x:c>
      <x:c r="F2" s="13" t="str">
        <x:v>VND</x:v>
      </x:c>
      <x:c r="G2" s="13" t="n">
        <x:v>1</x:v>
      </x:c>
      <x:c r="H2" s="16" t="n">
        <x:v>8000000</x:v>
      </x:c>
      <x:c r="I2" s="16" t="n">
        <x:v>10800000</x:v>
      </x:c>
      <x:c r="J2" s="16" t="n">
        <x:v>13600000</x:v>
      </x:c>
      <x:c r="K2" s="20" t="n">
        <x:v>0.08</x:v>
      </x:c>
      <x:c r="L2" s="13" t="str">
        <x:v>Yes</x:v>
      </x:c>
      <x:c r="M2" s="16" t="n">
        <x:f>I2-H2</x:f>
        <x:v>2800000</x:v>
      </x:c>
      <x:c r="N2" s="16" t="n">
        <x:f>J2-H2</x:f>
        <x:v>5600000</x:v>
      </x:c>
      <x:c r="O2" s="24" t="n">
        <x:f>IFERROR(M2/I2,0)</x:f>
        <x:v>0.25925925925925924</x:v>
      </x:c>
      <x:c r="P2" s="24" t="n">
        <x:f>IFERROR(N2/J2,0)</x:f>
        <x:v>0.4117647058823529</x:v>
      </x:c>
      <x:c r="Q2" s="13" t="str">
        <x:v>Editable theo từng chiến dịch</x:v>
      </x:c>
      <x:c r="R2" s="13" t="str">
        <x:v>40% deposit / 60% before submission</x:v>
      </x:c>
      <x:c r="S2" s="13" t="str">
        <x:v>Draft</x:v>
      </x:c>
      <x:c r="T2" s="28" t="n">
        <x:v>46199</x:v>
      </x:c>
      <x:c r="U2" s="13" t="str">
        <x:v>Ops/Accounting</x:v>
      </x:c>
    </x:row>
    <x:row r="3">
      <x:c r="A3" s="13" t="n">
        <x:v>2</x:v>
      </x:c>
      <x:c r="B3" s="13" t="str">
        <x:v>KR-STUDY-VET-D46</x:v>
      </x:c>
      <x:c r="C3" s="13" t="str">
        <x:v>VIS-KR-ST02</x:v>
      </x:c>
      <x:c r="D3" s="13" t="str">
        <x:v>Hàn Quốc</x:v>
      </x:c>
      <x:c r="E3" s="13" t="str">
        <x:v>Du học nghề Hàn Quốc</x:v>
      </x:c>
      <x:c r="F3" s="13" t="str">
        <x:v>VND</x:v>
      </x:c>
      <x:c r="G3" s="13" t="n">
        <x:v>1</x:v>
      </x:c>
      <x:c r="H3" s="16" t="n">
        <x:v>8000000</x:v>
      </x:c>
      <x:c r="I3" s="16" t="n">
        <x:v>10800000</x:v>
      </x:c>
      <x:c r="J3" s="16" t="n">
        <x:v>13600000</x:v>
      </x:c>
      <x:c r="K3" s="20" t="n">
        <x:v>0.08</x:v>
      </x:c>
      <x:c r="L3" s="13" t="str">
        <x:v>Yes</x:v>
      </x:c>
      <x:c r="M3" s="16" t="n">
        <x:f>I3-H3</x:f>
        <x:v>2800000</x:v>
      </x:c>
      <x:c r="N3" s="16" t="n">
        <x:f>J3-H3</x:f>
        <x:v>5600000</x:v>
      </x:c>
      <x:c r="O3" s="24" t="n">
        <x:f>IFERROR(M3/I3,0)</x:f>
        <x:v>0.25925925925925924</x:v>
      </x:c>
      <x:c r="P3" s="24" t="n">
        <x:f>IFERROR(N3/J3,0)</x:f>
        <x:v>0.4117647058823529</x:v>
      </x:c>
      <x:c r="Q3" s="13" t="str">
        <x:v>Editable theo từng chiến dịch</x:v>
      </x:c>
      <x:c r="R3" s="13" t="str">
        <x:v>40% deposit / 60% before submission</x:v>
      </x:c>
      <x:c r="S3" s="13" t="str">
        <x:v>Draft</x:v>
      </x:c>
      <x:c r="T3" s="28" t="n">
        <x:v>46199</x:v>
      </x:c>
      <x:c r="U3" s="13" t="str">
        <x:v>Ops/Accounting</x:v>
      </x:c>
    </x:row>
    <x:row r="4">
      <x:c r="A4" s="13" t="n">
        <x:v>3</x:v>
      </x:c>
      <x:c r="B4" s="13" t="str">
        <x:v>KR-STUDY-ASSOC-D21</x:v>
      </x:c>
      <x:c r="C4" s="13" t="str">
        <x:v>VIS-KR-ST03</x:v>
      </x:c>
      <x:c r="D4" s="13" t="str">
        <x:v>Hàn Quốc</x:v>
      </x:c>
      <x:c r="E4" s="13" t="str">
        <x:v>Cao đẳng chuyên ngành</x:v>
      </x:c>
      <x:c r="F4" s="13" t="str">
        <x:v>VND</x:v>
      </x:c>
      <x:c r="G4" s="13" t="n">
        <x:v>1</x:v>
      </x:c>
      <x:c r="H4" s="16" t="n">
        <x:v>8000000</x:v>
      </x:c>
      <x:c r="I4" s="16" t="n">
        <x:v>10800000</x:v>
      </x:c>
      <x:c r="J4" s="16" t="n">
        <x:v>13600000</x:v>
      </x:c>
      <x:c r="K4" s="20" t="n">
        <x:v>0.08</x:v>
      </x:c>
      <x:c r="L4" s="13" t="str">
        <x:v>Yes</x:v>
      </x:c>
      <x:c r="M4" s="16" t="n">
        <x:f>I4-H4</x:f>
        <x:v>2800000</x:v>
      </x:c>
      <x:c r="N4" s="16" t="n">
        <x:f>J4-H4</x:f>
        <x:v>5600000</x:v>
      </x:c>
      <x:c r="O4" s="24" t="n">
        <x:f>IFERROR(M4/I4,0)</x:f>
        <x:v>0.25925925925925924</x:v>
      </x:c>
      <x:c r="P4" s="24" t="n">
        <x:f>IFERROR(N4/J4,0)</x:f>
        <x:v>0.4117647058823529</x:v>
      </x:c>
      <x:c r="Q4" s="13" t="str">
        <x:v>Editable theo từng chiến dịch</x:v>
      </x:c>
      <x:c r="R4" s="13" t="str">
        <x:v>40% deposit / 60% before submission</x:v>
      </x:c>
      <x:c r="S4" s="13" t="str">
        <x:v>Draft</x:v>
      </x:c>
      <x:c r="T4" s="28" t="n">
        <x:v>46199</x:v>
      </x:c>
      <x:c r="U4" s="13" t="str">
        <x:v>Ops/Accounting</x:v>
      </x:c>
    </x:row>
    <x:row r="5">
      <x:c r="A5" s="13" t="n">
        <x:v>4</x:v>
      </x:c>
      <x:c r="B5" s="13" t="str">
        <x:v>KR-STUDY-UNI-D22</x:v>
      </x:c>
      <x:c r="C5" s="13" t="str">
        <x:v>VIS-KR-ST04</x:v>
      </x:c>
      <x:c r="D5" s="13" t="str">
        <x:v>Hàn Quốc</x:v>
      </x:c>
      <x:c r="E5" s="13" t="str">
        <x:v>Đại học chính quy</x:v>
      </x:c>
      <x:c r="F5" s="13" t="str">
        <x:v>VND</x:v>
      </x:c>
      <x:c r="G5" s="13" t="n">
        <x:v>1</x:v>
      </x:c>
      <x:c r="H5" s="16" t="n">
        <x:v>8000000</x:v>
      </x:c>
      <x:c r="I5" s="16" t="n">
        <x:v>10800000</x:v>
      </x:c>
      <x:c r="J5" s="16" t="n">
        <x:v>13600000</x:v>
      </x:c>
      <x:c r="K5" s="20" t="n">
        <x:v>0.08</x:v>
      </x:c>
      <x:c r="L5" s="13" t="str">
        <x:v>Yes</x:v>
      </x:c>
      <x:c r="M5" s="16" t="n">
        <x:f>I5-H5</x:f>
        <x:v>2800000</x:v>
      </x:c>
      <x:c r="N5" s="16" t="n">
        <x:f>J5-H5</x:f>
        <x:v>5600000</x:v>
      </x:c>
      <x:c r="O5" s="24" t="n">
        <x:f>IFERROR(M5/I5,0)</x:f>
        <x:v>0.25925925925925924</x:v>
      </x:c>
      <x:c r="P5" s="24" t="n">
        <x:f>IFERROR(N5/J5,0)</x:f>
        <x:v>0.4117647058823529</x:v>
      </x:c>
      <x:c r="Q5" s="13" t="str">
        <x:v>Editable theo từng chiến dịch</x:v>
      </x:c>
      <x:c r="R5" s="13" t="str">
        <x:v>40% deposit / 60% before submission</x:v>
      </x:c>
      <x:c r="S5" s="13" t="str">
        <x:v>Draft</x:v>
      </x:c>
      <x:c r="T5" s="28" t="n">
        <x:v>46199</x:v>
      </x:c>
      <x:c r="U5" s="13" t="str">
        <x:v>Ops/Accounting</x:v>
      </x:c>
    </x:row>
    <x:row r="6">
      <x:c r="A6" s="13" t="n">
        <x:v>5</x:v>
      </x:c>
      <x:c r="B6" s="13" t="str">
        <x:v>KR-STUDY-POST-D23D24</x:v>
      </x:c>
      <x:c r="C6" s="13" t="str">
        <x:v>VIS-KR-ST05</x:v>
      </x:c>
      <x:c r="D6" s="13" t="str">
        <x:v>Hàn Quốc</x:v>
      </x:c>
      <x:c r="E6" s="13" t="str">
        <x:v>Thạc sĩ/Tiến sĩ</x:v>
      </x:c>
      <x:c r="F6" s="13" t="str">
        <x:v>VND</x:v>
      </x:c>
      <x:c r="G6" s="13" t="n">
        <x:v>1</x:v>
      </x:c>
      <x:c r="H6" s="16" t="n">
        <x:v>8000000</x:v>
      </x:c>
      <x:c r="I6" s="16" t="n">
        <x:v>10800000</x:v>
      </x:c>
      <x:c r="J6" s="16" t="n">
        <x:v>13600000</x:v>
      </x:c>
      <x:c r="K6" s="20" t="n">
        <x:v>0.08</x:v>
      </x:c>
      <x:c r="L6" s="13" t="str">
        <x:v>Yes</x:v>
      </x:c>
      <x:c r="M6" s="16" t="n">
        <x:f>I6-H6</x:f>
        <x:v>2800000</x:v>
      </x:c>
      <x:c r="N6" s="16" t="n">
        <x:f>J6-H6</x:f>
        <x:v>5600000</x:v>
      </x:c>
      <x:c r="O6" s="24" t="n">
        <x:f>IFERROR(M6/I6,0)</x:f>
        <x:v>0.25925925925925924</x:v>
      </x:c>
      <x:c r="P6" s="24" t="n">
        <x:f>IFERROR(N6/J6,0)</x:f>
        <x:v>0.4117647058823529</x:v>
      </x:c>
      <x:c r="Q6" s="13" t="str">
        <x:v>Editable theo từng chiến dịch</x:v>
      </x:c>
      <x:c r="R6" s="13" t="str">
        <x:v>40% deposit / 60% before submission</x:v>
      </x:c>
      <x:c r="S6" s="13" t="str">
        <x:v>Draft</x:v>
      </x:c>
      <x:c r="T6" s="28" t="n">
        <x:v>46199</x:v>
      </x:c>
      <x:c r="U6" s="13" t="str">
        <x:v>Ops/Accounting</x:v>
      </x:c>
    </x:row>
    <x:row r="7">
      <x:c r="A7" s="13" t="n">
        <x:v>6</x:v>
      </x:c>
      <x:c r="B7" s="13" t="str">
        <x:v>KR-STUDY-EXCH-D26</x:v>
      </x:c>
      <x:c r="C7" s="13" t="str">
        <x:v>VIS-KR-ST06</x:v>
      </x:c>
      <x:c r="D7" s="13" t="str">
        <x:v>Hàn Quốc</x:v>
      </x:c>
      <x:c r="E7" s="13" t="str">
        <x:v>Trao đổi sinh viên</x:v>
      </x:c>
      <x:c r="F7" s="13" t="str">
        <x:v>VND</x:v>
      </x:c>
      <x:c r="G7" s="13" t="n">
        <x:v>1</x:v>
      </x:c>
      <x:c r="H7" s="16" t="n">
        <x:v>8000000</x:v>
      </x:c>
      <x:c r="I7" s="16" t="n">
        <x:v>10800000</x:v>
      </x:c>
      <x:c r="J7" s="16" t="n">
        <x:v>13600000</x:v>
      </x:c>
      <x:c r="K7" s="20" t="n">
        <x:v>0.08</x:v>
      </x:c>
      <x:c r="L7" s="13" t="str">
        <x:v>Yes</x:v>
      </x:c>
      <x:c r="M7" s="16" t="n">
        <x:f>I7-H7</x:f>
        <x:v>2800000</x:v>
      </x:c>
      <x:c r="N7" s="16" t="n">
        <x:f>J7-H7</x:f>
        <x:v>5600000</x:v>
      </x:c>
      <x:c r="O7" s="24" t="n">
        <x:f>IFERROR(M7/I7,0)</x:f>
        <x:v>0.25925925925925924</x:v>
      </x:c>
      <x:c r="P7" s="24" t="n">
        <x:f>IFERROR(N7/J7,0)</x:f>
        <x:v>0.4117647058823529</x:v>
      </x:c>
      <x:c r="Q7" s="13" t="str">
        <x:v>Editable theo từng chiến dịch</x:v>
      </x:c>
      <x:c r="R7" s="13" t="str">
        <x:v>40% deposit / 60% before submission</x:v>
      </x:c>
      <x:c r="S7" s="13" t="str">
        <x:v>Draft</x:v>
      </x:c>
      <x:c r="T7" s="28" t="n">
        <x:v>46199</x:v>
      </x:c>
      <x:c r="U7" s="13" t="str">
        <x:v>Ops/Accounting</x:v>
      </x:c>
    </x:row>
    <x:row r="8">
      <x:c r="A8" s="13" t="n">
        <x:v>7</x:v>
      </x:c>
      <x:c r="B8" s="13" t="str">
        <x:v>JP-STUDY-STUDENT-COE</x:v>
      </x:c>
      <x:c r="C8" s="13" t="str">
        <x:v>VIS-JP-ST01</x:v>
      </x:c>
      <x:c r="D8" s="13" t="str">
        <x:v>Nhật Bản</x:v>
      </x:c>
      <x:c r="E8" s="13" t="str">
        <x:v>Visa du học Nhật Bản</x:v>
      </x:c>
      <x:c r="F8" s="13" t="str">
        <x:v>VND</x:v>
      </x:c>
      <x:c r="G8" s="13" t="n">
        <x:v>1</x:v>
      </x:c>
      <x:c r="H8" s="16" t="n">
        <x:v>8000000</x:v>
      </x:c>
      <x:c r="I8" s="16" t="n">
        <x:v>10800000</x:v>
      </x:c>
      <x:c r="J8" s="16" t="n">
        <x:v>13600000</x:v>
      </x:c>
      <x:c r="K8" s="20" t="n">
        <x:v>0.08</x:v>
      </x:c>
      <x:c r="L8" s="13" t="str">
        <x:v>Yes</x:v>
      </x:c>
      <x:c r="M8" s="16" t="n">
        <x:f>I8-H8</x:f>
        <x:v>2800000</x:v>
      </x:c>
      <x:c r="N8" s="16" t="n">
        <x:f>J8-H8</x:f>
        <x:v>5600000</x:v>
      </x:c>
      <x:c r="O8" s="24" t="n">
        <x:f>IFERROR(M8/I8,0)</x:f>
        <x:v>0.25925925925925924</x:v>
      </x:c>
      <x:c r="P8" s="24" t="n">
        <x:f>IFERROR(N8/J8,0)</x:f>
        <x:v>0.4117647058823529</x:v>
      </x:c>
      <x:c r="Q8" s="13" t="str">
        <x:v>Editable theo từng chiến dịch</x:v>
      </x:c>
      <x:c r="R8" s="13" t="str">
        <x:v>40% deposit / 60% before submission</x:v>
      </x:c>
      <x:c r="S8" s="13" t="str">
        <x:v>Draft</x:v>
      </x:c>
      <x:c r="T8" s="28" t="n">
        <x:v>46199</x:v>
      </x:c>
      <x:c r="U8" s="13" t="str">
        <x:v>Ops/Accounting</x:v>
      </x:c>
    </x:row>
    <x:row r="9">
      <x:c r="A9" s="13" t="n">
        <x:v>8</x:v>
      </x:c>
      <x:c r="B9" s="13" t="str">
        <x:v>CN-STUDY-X1-LONG</x:v>
      </x:c>
      <x:c r="C9" s="13" t="str">
        <x:v>VIS-CN-ST01</x:v>
      </x:c>
      <x:c r="D9" s="13" t="str">
        <x:v>Trung Quốc</x:v>
      </x:c>
      <x:c r="E9" s="13" t="str">
        <x:v>Du học dài hạn Trung Quốc</x:v>
      </x:c>
      <x:c r="F9" s="13" t="str">
        <x:v>VND</x:v>
      </x:c>
      <x:c r="G9" s="13" t="n">
        <x:v>1</x:v>
      </x:c>
      <x:c r="H9" s="16" t="n">
        <x:v>8000000</x:v>
      </x:c>
      <x:c r="I9" s="16" t="n">
        <x:v>10800000</x:v>
      </x:c>
      <x:c r="J9" s="16" t="n">
        <x:v>13600000</x:v>
      </x:c>
      <x:c r="K9" s="20" t="n">
        <x:v>0.08</x:v>
      </x:c>
      <x:c r="L9" s="13" t="str">
        <x:v>Yes</x:v>
      </x:c>
      <x:c r="M9" s="16" t="n">
        <x:f>I9-H9</x:f>
        <x:v>2800000</x:v>
      </x:c>
      <x:c r="N9" s="16" t="n">
        <x:f>J9-H9</x:f>
        <x:v>5600000</x:v>
      </x:c>
      <x:c r="O9" s="24" t="n">
        <x:f>IFERROR(M9/I9,0)</x:f>
        <x:v>0.25925925925925924</x:v>
      </x:c>
      <x:c r="P9" s="24" t="n">
        <x:f>IFERROR(N9/J9,0)</x:f>
        <x:v>0.4117647058823529</x:v>
      </x:c>
      <x:c r="Q9" s="13" t="str">
        <x:v>Editable theo từng chiến dịch</x:v>
      </x:c>
      <x:c r="R9" s="13" t="str">
        <x:v>40% deposit / 60% before submission</x:v>
      </x:c>
      <x:c r="S9" s="13" t="str">
        <x:v>Draft</x:v>
      </x:c>
      <x:c r="T9" s="28" t="n">
        <x:v>46199</x:v>
      </x:c>
      <x:c r="U9" s="13" t="str">
        <x:v>Ops/Accounting</x:v>
      </x:c>
    </x:row>
    <x:row r="10">
      <x:c r="A10" s="13" t="n">
        <x:v>9</x:v>
      </x:c>
      <x:c r="B10" s="13" t="str">
        <x:v>CN-STUDY-X2-SHORT</x:v>
      </x:c>
      <x:c r="C10" s="13" t="str">
        <x:v>VIS-CN-ST02</x:v>
      </x:c>
      <x:c r="D10" s="13" t="str">
        <x:v>Trung Quốc</x:v>
      </x:c>
      <x:c r="E10" s="13" t="str">
        <x:v>Du học ngắn hạn Trung Quốc</x:v>
      </x:c>
      <x:c r="F10" s="13" t="str">
        <x:v>VND</x:v>
      </x:c>
      <x:c r="G10" s="13" t="n">
        <x:v>1</x:v>
      </x:c>
      <x:c r="H10" s="16" t="n">
        <x:v>8000000</x:v>
      </x:c>
      <x:c r="I10" s="16" t="n">
        <x:v>10800000</x:v>
      </x:c>
      <x:c r="J10" s="16" t="n">
        <x:v>13600000</x:v>
      </x:c>
      <x:c r="K10" s="20" t="n">
        <x:v>0.08</x:v>
      </x:c>
      <x:c r="L10" s="13" t="str">
        <x:v>Yes</x:v>
      </x:c>
      <x:c r="M10" s="16" t="n">
        <x:f>I10-H10</x:f>
        <x:v>2800000</x:v>
      </x:c>
      <x:c r="N10" s="16" t="n">
        <x:f>J10-H10</x:f>
        <x:v>5600000</x:v>
      </x:c>
      <x:c r="O10" s="24" t="n">
        <x:f>IFERROR(M10/I10,0)</x:f>
        <x:v>0.25925925925925924</x:v>
      </x:c>
      <x:c r="P10" s="24" t="n">
        <x:f>IFERROR(N10/J10,0)</x:f>
        <x:v>0.4117647058823529</x:v>
      </x:c>
      <x:c r="Q10" s="13" t="str">
        <x:v>Editable theo từng chiến dịch</x:v>
      </x:c>
      <x:c r="R10" s="13" t="str">
        <x:v>40% deposit / 60% before submission</x:v>
      </x:c>
      <x:c r="S10" s="13" t="str">
        <x:v>Draft</x:v>
      </x:c>
      <x:c r="T10" s="28" t="n">
        <x:v>46199</x:v>
      </x:c>
      <x:c r="U10" s="13" t="str">
        <x:v>Ops/Accounting</x:v>
      </x:c>
    </x:row>
    <x:row r="11">
      <x:c r="A11" s="13" t="n">
        <x:v>10</x:v>
      </x:c>
      <x:c r="B11" s="13" t="str">
        <x:v>TW-STUDY-RESIDENT</x:v>
      </x:c>
      <x:c r="C11" s="13" t="str">
        <x:v>VIS-TW-ST01</x:v>
      </x:c>
      <x:c r="D11" s="13" t="str">
        <x:v>Đài Loan</x:v>
      </x:c>
      <x:c r="E11" s="13" t="str">
        <x:v>Resident Visa for Study</x:v>
      </x:c>
      <x:c r="F11" s="13" t="str">
        <x:v>VND</x:v>
      </x:c>
      <x:c r="G11" s="13" t="n">
        <x:v>1</x:v>
      </x:c>
      <x:c r="H11" s="16" t="n">
        <x:v>8000000</x:v>
      </x:c>
      <x:c r="I11" s="16" t="n">
        <x:v>10800000</x:v>
      </x:c>
      <x:c r="J11" s="16" t="n">
        <x:v>13600000</x:v>
      </x:c>
      <x:c r="K11" s="20" t="n">
        <x:v>0.08</x:v>
      </x:c>
      <x:c r="L11" s="13" t="str">
        <x:v>Yes</x:v>
      </x:c>
      <x:c r="M11" s="16" t="n">
        <x:f>I11-H11</x:f>
        <x:v>2800000</x:v>
      </x:c>
      <x:c r="N11" s="16" t="n">
        <x:f>J11-H11</x:f>
        <x:v>5600000</x:v>
      </x:c>
      <x:c r="O11" s="24" t="n">
        <x:f>IFERROR(M11/I11,0)</x:f>
        <x:v>0.25925925925925924</x:v>
      </x:c>
      <x:c r="P11" s="24" t="n">
        <x:f>IFERROR(N11/J11,0)</x:f>
        <x:v>0.4117647058823529</x:v>
      </x:c>
      <x:c r="Q11" s="13" t="str">
        <x:v>Editable theo từng chiến dịch</x:v>
      </x:c>
      <x:c r="R11" s="13" t="str">
        <x:v>40% deposit / 60% before submission</x:v>
      </x:c>
      <x:c r="S11" s="13" t="str">
        <x:v>Draft</x:v>
      </x:c>
      <x:c r="T11" s="28" t="n">
        <x:v>46199</x:v>
      </x:c>
      <x:c r="U11" s="13" t="str">
        <x:v>Ops/Accounting</x:v>
      </x:c>
    </x:row>
    <x:row r="12">
      <x:c r="A12" s="13" t="n">
        <x:v>11</x:v>
      </x:c>
      <x:c r="B12" s="13" t="str">
        <x:v>TW-STUDY-VISITOR</x:v>
      </x:c>
      <x:c r="C12" s="13" t="str">
        <x:v>VIS-TW-ST02</x:v>
      </x:c>
      <x:c r="D12" s="13" t="str">
        <x:v>Đài Loan</x:v>
      </x:c>
      <x:c r="E12" s="13" t="str">
        <x:v>Visitor Visa for Study</x:v>
      </x:c>
      <x:c r="F12" s="13" t="str">
        <x:v>VND</x:v>
      </x:c>
      <x:c r="G12" s="13" t="n">
        <x:v>1</x:v>
      </x:c>
      <x:c r="H12" s="16" t="n">
        <x:v>8000000</x:v>
      </x:c>
      <x:c r="I12" s="16" t="n">
        <x:v>10800000</x:v>
      </x:c>
      <x:c r="J12" s="16" t="n">
        <x:v>13600000</x:v>
      </x:c>
      <x:c r="K12" s="20" t="n">
        <x:v>0.08</x:v>
      </x:c>
      <x:c r="L12" s="13" t="str">
        <x:v>Yes</x:v>
      </x:c>
      <x:c r="M12" s="16" t="n">
        <x:f>I12-H12</x:f>
        <x:v>2800000</x:v>
      </x:c>
      <x:c r="N12" s="16" t="n">
        <x:f>J12-H12</x:f>
        <x:v>5600000</x:v>
      </x:c>
      <x:c r="O12" s="24" t="n">
        <x:f>IFERROR(M12/I12,0)</x:f>
        <x:v>0.25925925925925924</x:v>
      </x:c>
      <x:c r="P12" s="24" t="n">
        <x:f>IFERROR(N12/J12,0)</x:f>
        <x:v>0.4117647058823529</x:v>
      </x:c>
      <x:c r="Q12" s="13" t="str">
        <x:v>Editable theo từng chiến dịch</x:v>
      </x:c>
      <x:c r="R12" s="13" t="str">
        <x:v>40% deposit / 60% before submission</x:v>
      </x:c>
      <x:c r="S12" s="13" t="str">
        <x:v>Draft</x:v>
      </x:c>
      <x:c r="T12" s="28" t="n">
        <x:v>46199</x:v>
      </x:c>
      <x:c r="U12" s="13" t="str">
        <x:v>Ops/Accounting</x:v>
      </x:c>
    </x:row>
    <x:row r="13">
      <x:c r="A13" s="13" t="n">
        <x:v>12</x:v>
      </x:c>
      <x:c r="B13" s="13" t="str">
        <x:v>DE-STUDY-VET-BERUF</x:v>
      </x:c>
      <x:c r="C13" s="13" t="str">
        <x:v>VIS-DE-ST01</x:v>
      </x:c>
      <x:c r="D13" s="13" t="str">
        <x:v>Đức</x:v>
      </x:c>
      <x:c r="E13" s="13" t="str">
        <x:v>Du học nghề Đức</x:v>
      </x:c>
      <x:c r="F13" s="13" t="str">
        <x:v>VND</x:v>
      </x:c>
      <x:c r="G13" s="13" t="n">
        <x:v>1</x:v>
      </x:c>
      <x:c r="H13" s="16" t="n">
        <x:v>18000000</x:v>
      </x:c>
      <x:c r="I13" s="16" t="n">
        <x:v>24300000</x:v>
      </x:c>
      <x:c r="J13" s="16" t="n">
        <x:v>30600000</x:v>
      </x:c>
      <x:c r="K13" s="20" t="n">
        <x:v>0.08</x:v>
      </x:c>
      <x:c r="L13" s="13" t="str">
        <x:v>Yes</x:v>
      </x:c>
      <x:c r="M13" s="16" t="n">
        <x:f>I13-H13</x:f>
        <x:v>6300000</x:v>
      </x:c>
      <x:c r="N13" s="16" t="n">
        <x:f>J13-H13</x:f>
        <x:v>12600000</x:v>
      </x:c>
      <x:c r="O13" s="24" t="n">
        <x:f>IFERROR(M13/I13,0)</x:f>
        <x:v>0.25925925925925924</x:v>
      </x:c>
      <x:c r="P13" s="24" t="n">
        <x:f>IFERROR(N13/J13,0)</x:f>
        <x:v>0.4117647058823529</x:v>
      </x:c>
      <x:c r="Q13" s="13" t="str">
        <x:v>Editable theo từng chiến dịch</x:v>
      </x:c>
      <x:c r="R13" s="13" t="str">
        <x:v>40% deposit / 60% before submission</x:v>
      </x:c>
      <x:c r="S13" s="13" t="str">
        <x:v>Draft</x:v>
      </x:c>
      <x:c r="T13" s="28" t="n">
        <x:v>46199</x:v>
      </x:c>
      <x:c r="U13" s="13" t="str">
        <x:v>Ops/Accounting</x:v>
      </x:c>
    </x:row>
    <x:row r="14">
      <x:c r="A14" s="13" t="n">
        <x:v>13</x:v>
      </x:c>
      <x:c r="B14" s="13" t="str">
        <x:v>DE-STUDY-UNI-STUDIUM</x:v>
      </x:c>
      <x:c r="C14" s="13" t="str">
        <x:v>VIS-DE-ST02</x:v>
      </x:c>
      <x:c r="D14" s="13" t="str">
        <x:v>Đức</x:v>
      </x:c>
      <x:c r="E14" s="13" t="str">
        <x:v>Du học Đại học/Sau Đại học Đức</x:v>
      </x:c>
      <x:c r="F14" s="13" t="str">
        <x:v>VND</x:v>
      </x:c>
      <x:c r="G14" s="13" t="n">
        <x:v>1</x:v>
      </x:c>
      <x:c r="H14" s="16" t="n">
        <x:v>18000000</x:v>
      </x:c>
      <x:c r="I14" s="16" t="n">
        <x:v>24300000</x:v>
      </x:c>
      <x:c r="J14" s="16" t="n">
        <x:v>30600000</x:v>
      </x:c>
      <x:c r="K14" s="20" t="n">
        <x:v>0.08</x:v>
      </x:c>
      <x:c r="L14" s="13" t="str">
        <x:v>Yes</x:v>
      </x:c>
      <x:c r="M14" s="16" t="n">
        <x:f>I14-H14</x:f>
        <x:v>6300000</x:v>
      </x:c>
      <x:c r="N14" s="16" t="n">
        <x:f>J14-H14</x:f>
        <x:v>12600000</x:v>
      </x:c>
      <x:c r="O14" s="24" t="n">
        <x:f>IFERROR(M14/I14,0)</x:f>
        <x:v>0.25925925925925924</x:v>
      </x:c>
      <x:c r="P14" s="24" t="n">
        <x:f>IFERROR(N14/J14,0)</x:f>
        <x:v>0.4117647058823529</x:v>
      </x:c>
      <x:c r="Q14" s="13" t="str">
        <x:v>Editable theo từng chiến dịch</x:v>
      </x:c>
      <x:c r="R14" s="13" t="str">
        <x:v>40% deposit / 60% before submission</x:v>
      </x:c>
      <x:c r="S14" s="13" t="str">
        <x:v>Draft</x:v>
      </x:c>
      <x:c r="T14" s="28" t="n">
        <x:v>46199</x:v>
      </x:c>
      <x:c r="U14" s="13" t="str">
        <x:v>Ops/Accounting</x:v>
      </x:c>
    </x:row>
    <x:row r="15">
      <x:c r="A15" s="13" t="n">
        <x:v>14</x:v>
      </x:c>
      <x:c r="B15" s="13" t="str">
        <x:v>DE-STUDY-SOP-KOLLEG</x:v>
      </x:c>
      <x:c r="C15" s="13" t="str">
        <x:v>VIS-DE-ST03</x:v>
      </x:c>
      <x:c r="D15" s="13" t="str">
        <x:v>Đức</x:v>
      </x:c>
      <x:c r="E15" s="13" t="str">
        <x:v>Dự bị Đại học/Tìm trường Đức</x:v>
      </x:c>
      <x:c r="F15" s="13" t="str">
        <x:v>VND</x:v>
      </x:c>
      <x:c r="G15" s="13" t="n">
        <x:v>1</x:v>
      </x:c>
      <x:c r="H15" s="16" t="n">
        <x:v>18000000</x:v>
      </x:c>
      <x:c r="I15" s="16" t="n">
        <x:v>24300000</x:v>
      </x:c>
      <x:c r="J15" s="16" t="n">
        <x:v>30600000</x:v>
      </x:c>
      <x:c r="K15" s="20" t="n">
        <x:v>0.08</x:v>
      </x:c>
      <x:c r="L15" s="13" t="str">
        <x:v>Yes</x:v>
      </x:c>
      <x:c r="M15" s="16" t="n">
        <x:f>I15-H15</x:f>
        <x:v>6300000</x:v>
      </x:c>
      <x:c r="N15" s="16" t="n">
        <x:f>J15-H15</x:f>
        <x:v>12600000</x:v>
      </x:c>
      <x:c r="O15" s="24" t="n">
        <x:f>IFERROR(M15/I15,0)</x:f>
        <x:v>0.25925925925925924</x:v>
      </x:c>
      <x:c r="P15" s="24" t="n">
        <x:f>IFERROR(N15/J15,0)</x:f>
        <x:v>0.4117647058823529</x:v>
      </x:c>
      <x:c r="Q15" s="13" t="str">
        <x:v>Editable theo từng chiến dịch</x:v>
      </x:c>
      <x:c r="R15" s="13" t="str">
        <x:v>40% deposit / 60% before submission</x:v>
      </x:c>
      <x:c r="S15" s="13" t="str">
        <x:v>Draft</x:v>
      </x:c>
      <x:c r="T15" s="28" t="n">
        <x:v>46199</x:v>
      </x:c>
      <x:c r="U15" s="13" t="str">
        <x:v>Ops/Accounting</x:v>
      </x:c>
    </x:row>
    <x:row r="16">
      <x:c r="A16" s="13" t="n">
        <x:v>15</x:v>
      </x:c>
      <x:c r="B16" s="13" t="str">
        <x:v>DE-STUDY-LANG-SPRACH</x:v>
      </x:c>
      <x:c r="C16" s="13" t="str">
        <x:v>VIS-DE-ST04</x:v>
      </x:c>
      <x:c r="D16" s="13" t="str">
        <x:v>Đức</x:v>
      </x:c>
      <x:c r="E16" s="13" t="str">
        <x:v>Khóa tiếng Đức chuyên sâu</x:v>
      </x:c>
      <x:c r="F16" s="13" t="str">
        <x:v>VND</x:v>
      </x:c>
      <x:c r="G16" s="13" t="n">
        <x:v>1</x:v>
      </x:c>
      <x:c r="H16" s="16" t="n">
        <x:v>18000000</x:v>
      </x:c>
      <x:c r="I16" s="16" t="n">
        <x:v>24300000</x:v>
      </x:c>
      <x:c r="J16" s="16" t="n">
        <x:v>30600000</x:v>
      </x:c>
      <x:c r="K16" s="20" t="n">
        <x:v>0.08</x:v>
      </x:c>
      <x:c r="L16" s="13" t="str">
        <x:v>Yes</x:v>
      </x:c>
      <x:c r="M16" s="16" t="n">
        <x:f>I16-H16</x:f>
        <x:v>6300000</x:v>
      </x:c>
      <x:c r="N16" s="16" t="n">
        <x:f>J16-H16</x:f>
        <x:v>12600000</x:v>
      </x:c>
      <x:c r="O16" s="24" t="n">
        <x:f>IFERROR(M16/I16,0)</x:f>
        <x:v>0.25925925925925924</x:v>
      </x:c>
      <x:c r="P16" s="24" t="n">
        <x:f>IFERROR(N16/J16,0)</x:f>
        <x:v>0.4117647058823529</x:v>
      </x:c>
      <x:c r="Q16" s="13" t="str">
        <x:v>Editable theo từng chiến dịch</x:v>
      </x:c>
      <x:c r="R16" s="13" t="str">
        <x:v>40% deposit / 60% before submission</x:v>
      </x:c>
      <x:c r="S16" s="13" t="str">
        <x:v>Draft</x:v>
      </x:c>
      <x:c r="T16" s="28" t="n">
        <x:v>46199</x:v>
      </x:c>
      <x:c r="U16" s="13" t="str">
        <x:v>Ops/Accounting</x:v>
      </x:c>
    </x:row>
    <x:row r="17">
      <x:c r="A17" s="13" t="n">
        <x:v>16</x:v>
      </x:c>
      <x:c r="B17" s="13" t="str">
        <x:v>SCH-STUDY-SHORT-C</x:v>
      </x:c>
      <x:c r="C17" s="13" t="str">
        <x:v>VIS-SCH-ST01</x:v>
      </x:c>
      <x:c r="D17" s="13" t="str">
        <x:v>Khối Schengen</x:v>
      </x:c>
      <x:c r="E17" s="13" t="str">
        <x:v>Du học ngắn hạn Schengen</x:v>
      </x:c>
      <x:c r="F17" s="13" t="str">
        <x:v>VND</x:v>
      </x:c>
      <x:c r="G17" s="13" t="n">
        <x:v>1</x:v>
      </x:c>
      <x:c r="H17" s="16" t="n">
        <x:v>12000000</x:v>
      </x:c>
      <x:c r="I17" s="16" t="n">
        <x:v>16200000</x:v>
      </x:c>
      <x:c r="J17" s="16" t="n">
        <x:v>20400000</x:v>
      </x:c>
      <x:c r="K17" s="20" t="n">
        <x:v>0.08</x:v>
      </x:c>
      <x:c r="L17" s="13" t="str">
        <x:v>Yes</x:v>
      </x:c>
      <x:c r="M17" s="16" t="n">
        <x:f>I17-H17</x:f>
        <x:v>4200000</x:v>
      </x:c>
      <x:c r="N17" s="16" t="n">
        <x:f>J17-H17</x:f>
        <x:v>8400000</x:v>
      </x:c>
      <x:c r="O17" s="24" t="n">
        <x:f>IFERROR(M17/I17,0)</x:f>
        <x:v>0.25925925925925924</x:v>
      </x:c>
      <x:c r="P17" s="24" t="n">
        <x:f>IFERROR(N17/J17,0)</x:f>
        <x:v>0.4117647058823529</x:v>
      </x:c>
      <x:c r="Q17" s="13" t="str">
        <x:v>Editable theo từng chiến dịch</x:v>
      </x:c>
      <x:c r="R17" s="13" t="str">
        <x:v>40% deposit / 60% before submission</x:v>
      </x:c>
      <x:c r="S17" s="13" t="str">
        <x:v>Draft</x:v>
      </x:c>
      <x:c r="T17" s="28" t="n">
        <x:v>46199</x:v>
      </x:c>
      <x:c r="U17" s="13" t="str">
        <x:v>Ops/Accounting</x:v>
      </x:c>
    </x:row>
    <x:row r="18">
      <x:c r="A18" s="13" t="n">
        <x:v>17</x:v>
      </x:c>
      <x:c r="B18" s="13" t="str">
        <x:v>SCH-STUDY-LONG-D</x:v>
      </x:c>
      <x:c r="C18" s="13" t="str">
        <x:v>VIS-SCH-ST02</x:v>
      </x:c>
      <x:c r="D18" s="13" t="str">
        <x:v>Khối Schengen</x:v>
      </x:c>
      <x:c r="E18" s="13" t="str">
        <x:v>Du học dài hạn quốc gia</x:v>
      </x:c>
      <x:c r="F18" s="13" t="str">
        <x:v>VND</x:v>
      </x:c>
      <x:c r="G18" s="13" t="n">
        <x:v>1</x:v>
      </x:c>
      <x:c r="H18" s="16" t="n">
        <x:v>12000000</x:v>
      </x:c>
      <x:c r="I18" s="16" t="n">
        <x:v>16200000</x:v>
      </x:c>
      <x:c r="J18" s="16" t="n">
        <x:v>20400000</x:v>
      </x:c>
      <x:c r="K18" s="20" t="n">
        <x:v>0.08</x:v>
      </x:c>
      <x:c r="L18" s="13" t="str">
        <x:v>Yes</x:v>
      </x:c>
      <x:c r="M18" s="16" t="n">
        <x:f>I18-H18</x:f>
        <x:v>4200000</x:v>
      </x:c>
      <x:c r="N18" s="16" t="n">
        <x:f>J18-H18</x:f>
        <x:v>8400000</x:v>
      </x:c>
      <x:c r="O18" s="24" t="n">
        <x:f>IFERROR(M18/I18,0)</x:f>
        <x:v>0.25925925925925924</x:v>
      </x:c>
      <x:c r="P18" s="24" t="n">
        <x:f>IFERROR(N18/J18,0)</x:f>
        <x:v>0.4117647058823529</x:v>
      </x:c>
      <x:c r="Q18" s="13" t="str">
        <x:v>Editable theo từng chiến dịch</x:v>
      </x:c>
      <x:c r="R18" s="13" t="str">
        <x:v>40% deposit / 60% before submission</x:v>
      </x:c>
      <x:c r="S18" s="13" t="str">
        <x:v>Draft</x:v>
      </x:c>
      <x:c r="T18" s="28" t="n">
        <x:v>46199</x:v>
      </x:c>
      <x:c r="U18" s="13" t="str">
        <x:v>Ops/Accounting</x:v>
      </x:c>
    </x:row>
    <x:row r="19">
      <x:c r="A19" s="13" t="n">
        <x:v>18</x:v>
      </x:c>
      <x:c r="B19" s="13" t="str">
        <x:v>UK-STUDY-STUDENT</x:v>
      </x:c>
      <x:c r="C19" s="13" t="str">
        <x:v>VIS-UK-ST01</x:v>
      </x:c>
      <x:c r="D19" s="13" t="str">
        <x:v>Anh Quốc</x:v>
      </x:c>
      <x:c r="E19" s="13" t="str">
        <x:v>Student Visa UK</x:v>
      </x:c>
      <x:c r="F19" s="13" t="str">
        <x:v>VND</x:v>
      </x:c>
      <x:c r="G19" s="13" t="n">
        <x:v>1</x:v>
      </x:c>
      <x:c r="H19" s="16" t="n">
        <x:v>18000000</x:v>
      </x:c>
      <x:c r="I19" s="16" t="n">
        <x:v>24300000</x:v>
      </x:c>
      <x:c r="J19" s="16" t="n">
        <x:v>30600000</x:v>
      </x:c>
      <x:c r="K19" s="20" t="n">
        <x:v>0.08</x:v>
      </x:c>
      <x:c r="L19" s="13" t="str">
        <x:v>Yes</x:v>
      </x:c>
      <x:c r="M19" s="16" t="n">
        <x:f>I19-H19</x:f>
        <x:v>6300000</x:v>
      </x:c>
      <x:c r="N19" s="16" t="n">
        <x:f>J19-H19</x:f>
        <x:v>12600000</x:v>
      </x:c>
      <x:c r="O19" s="24" t="n">
        <x:f>IFERROR(M19/I19,0)</x:f>
        <x:v>0.25925925925925924</x:v>
      </x:c>
      <x:c r="P19" s="24" t="n">
        <x:f>IFERROR(N19/J19,0)</x:f>
        <x:v>0.4117647058823529</x:v>
      </x:c>
      <x:c r="Q19" s="13" t="str">
        <x:v>Editable theo từng chiến dịch</x:v>
      </x:c>
      <x:c r="R19" s="13" t="str">
        <x:v>40% deposit / 60% before submission</x:v>
      </x:c>
      <x:c r="S19" s="13" t="str">
        <x:v>Draft</x:v>
      </x:c>
      <x:c r="T19" s="28" t="n">
        <x:v>46199</x:v>
      </x:c>
      <x:c r="U19" s="13" t="str">
        <x:v>Ops/Accounting</x:v>
      </x:c>
    </x:row>
    <x:row r="20">
      <x:c r="A20" s="13" t="n">
        <x:v>19</x:v>
      </x:c>
      <x:c r="B20" s="13" t="str">
        <x:v>UK-STUDY-CHILD</x:v>
      </x:c>
      <x:c r="C20" s="13" t="str">
        <x:v>VIS-UK-ST02</x:v>
      </x:c>
      <x:c r="D20" s="13" t="str">
        <x:v>Anh Quốc</x:v>
      </x:c>
      <x:c r="E20" s="13" t="str">
        <x:v>Child Student Visa UK</x:v>
      </x:c>
      <x:c r="F20" s="13" t="str">
        <x:v>VND</x:v>
      </x:c>
      <x:c r="G20" s="13" t="n">
        <x:v>1</x:v>
      </x:c>
      <x:c r="H20" s="16" t="n">
        <x:v>18000000</x:v>
      </x:c>
      <x:c r="I20" s="16" t="n">
        <x:v>24300000</x:v>
      </x:c>
      <x:c r="J20" s="16" t="n">
        <x:v>30600000</x:v>
      </x:c>
      <x:c r="K20" s="20" t="n">
        <x:v>0.08</x:v>
      </x:c>
      <x:c r="L20" s="13" t="str">
        <x:v>Yes</x:v>
      </x:c>
      <x:c r="M20" s="16" t="n">
        <x:f>I20-H20</x:f>
        <x:v>6300000</x:v>
      </x:c>
      <x:c r="N20" s="16" t="n">
        <x:f>J20-H20</x:f>
        <x:v>12600000</x:v>
      </x:c>
      <x:c r="O20" s="24" t="n">
        <x:f>IFERROR(M20/I20,0)</x:f>
        <x:v>0.25925925925925924</x:v>
      </x:c>
      <x:c r="P20" s="24" t="n">
        <x:f>IFERROR(N20/J20,0)</x:f>
        <x:v>0.4117647058823529</x:v>
      </x:c>
      <x:c r="Q20" s="13" t="str">
        <x:v>Editable theo từng chiến dịch</x:v>
      </x:c>
      <x:c r="R20" s="13" t="str">
        <x:v>40% deposit / 60% before submission</x:v>
      </x:c>
      <x:c r="S20" s="13" t="str">
        <x:v>Draft</x:v>
      </x:c>
      <x:c r="T20" s="28" t="n">
        <x:v>46199</x:v>
      </x:c>
      <x:c r="U20" s="13" t="str">
        <x:v>Ops/Accounting</x:v>
      </x:c>
    </x:row>
    <x:row r="21">
      <x:c r="A21" s="13" t="n">
        <x:v>20</x:v>
      </x:c>
      <x:c r="B21" s="13" t="str">
        <x:v>UK-STUDY-SHORT-11M</x:v>
      </x:c>
      <x:c r="C21" s="13" t="str">
        <x:v>VIS-UK-ST03</x:v>
      </x:c>
      <x:c r="D21" s="13" t="str">
        <x:v>Anh Quốc</x:v>
      </x:c>
      <x:c r="E21" s="13" t="str">
        <x:v>Short-term Study Visa UK</x:v>
      </x:c>
      <x:c r="F21" s="13" t="str">
        <x:v>VND</x:v>
      </x:c>
      <x:c r="G21" s="13" t="n">
        <x:v>1</x:v>
      </x:c>
      <x:c r="H21" s="16" t="n">
        <x:v>18000000</x:v>
      </x:c>
      <x:c r="I21" s="16" t="n">
        <x:v>24300000</x:v>
      </x:c>
      <x:c r="J21" s="16" t="n">
        <x:v>30600000</x:v>
      </x:c>
      <x:c r="K21" s="20" t="n">
        <x:v>0.08</x:v>
      </x:c>
      <x:c r="L21" s="13" t="str">
        <x:v>Yes</x:v>
      </x:c>
      <x:c r="M21" s="16" t="n">
        <x:f>I21-H21</x:f>
        <x:v>6300000</x:v>
      </x:c>
      <x:c r="N21" s="16" t="n">
        <x:f>J21-H21</x:f>
        <x:v>12600000</x:v>
      </x:c>
      <x:c r="O21" s="24" t="n">
        <x:f>IFERROR(M21/I21,0)</x:f>
        <x:v>0.25925925925925924</x:v>
      </x:c>
      <x:c r="P21" s="24" t="n">
        <x:f>IFERROR(N21/J21,0)</x:f>
        <x:v>0.4117647058823529</x:v>
      </x:c>
      <x:c r="Q21" s="13" t="str">
        <x:v>Editable theo từng chiến dịch</x:v>
      </x:c>
      <x:c r="R21" s="13" t="str">
        <x:v>40% deposit / 60% before submission</x:v>
      </x:c>
      <x:c r="S21" s="13" t="str">
        <x:v>Draft</x:v>
      </x:c>
      <x:c r="T21" s="28" t="n">
        <x:v>46199</x:v>
      </x:c>
      <x:c r="U21" s="13" t="str">
        <x:v>Ops/Accounting</x:v>
      </x:c>
    </x:row>
    <x:row r="22">
      <x:c r="A22" s="13" t="n">
        <x:v>21</x:v>
      </x:c>
      <x:c r="B22" s="13" t="str">
        <x:v>UK-STUDY-VISITOR-6M</x:v>
      </x:c>
      <x:c r="C22" s="13" t="str">
        <x:v>VIS-UK-ST04</x:v>
      </x:c>
      <x:c r="D22" s="13" t="str">
        <x:v>Anh Quốc</x:v>
      </x:c>
      <x:c r="E22" s="13" t="str">
        <x:v>Standard Visitor học ngắn hạn</x:v>
      </x:c>
      <x:c r="F22" s="13" t="str">
        <x:v>VND</x:v>
      </x:c>
      <x:c r="G22" s="13" t="n">
        <x:v>1</x:v>
      </x:c>
      <x:c r="H22" s="16" t="n">
        <x:v>18000000</x:v>
      </x:c>
      <x:c r="I22" s="16" t="n">
        <x:v>24300000</x:v>
      </x:c>
      <x:c r="J22" s="16" t="n">
        <x:v>30600000</x:v>
      </x:c>
      <x:c r="K22" s="20" t="n">
        <x:v>0.08</x:v>
      </x:c>
      <x:c r="L22" s="13" t="str">
        <x:v>Yes</x:v>
      </x:c>
      <x:c r="M22" s="16" t="n">
        <x:f>I22-H22</x:f>
        <x:v>6300000</x:v>
      </x:c>
      <x:c r="N22" s="16" t="n">
        <x:f>J22-H22</x:f>
        <x:v>12600000</x:v>
      </x:c>
      <x:c r="O22" s="24" t="n">
        <x:f>IFERROR(M22/I22,0)</x:f>
        <x:v>0.25925925925925924</x:v>
      </x:c>
      <x:c r="P22" s="24" t="n">
        <x:f>IFERROR(N22/J22,0)</x:f>
        <x:v>0.4117647058823529</x:v>
      </x:c>
      <x:c r="Q22" s="13" t="str">
        <x:v>Editable theo từng chiến dịch</x:v>
      </x:c>
      <x:c r="R22" s="13" t="str">
        <x:v>40% deposit / 60% before submission</x:v>
      </x:c>
      <x:c r="S22" s="13" t="str">
        <x:v>Draft</x:v>
      </x:c>
      <x:c r="T22" s="28" t="n">
        <x:v>46199</x:v>
      </x:c>
      <x:c r="U22" s="13" t="str">
        <x:v>Ops/Accounting</x:v>
      </x:c>
    </x:row>
    <x:row r="23">
      <x:c r="A23" s="13" t="n">
        <x:v>22</x:v>
      </x:c>
      <x:c r="B23" s="13" t="str">
        <x:v>US-STUDY-F1-ACADEMIC</x:v>
      </x:c>
      <x:c r="C23" s="13" t="str">
        <x:v>VIS-US-ST01</x:v>
      </x:c>
      <x:c r="D23" s="13" t="str">
        <x:v>Mỹ</x:v>
      </x:c>
      <x:c r="E23" s="13" t="str">
        <x:v>Du học chính quy Mỹ</x:v>
      </x:c>
      <x:c r="F23" s="13" t="str">
        <x:v>VND</x:v>
      </x:c>
      <x:c r="G23" s="13" t="n">
        <x:v>1</x:v>
      </x:c>
      <x:c r="H23" s="16" t="n">
        <x:v>18000000</x:v>
      </x:c>
      <x:c r="I23" s="16" t="n">
        <x:v>24300000</x:v>
      </x:c>
      <x:c r="J23" s="16" t="n">
        <x:v>30600000</x:v>
      </x:c>
      <x:c r="K23" s="20" t="n">
        <x:v>0.08</x:v>
      </x:c>
      <x:c r="L23" s="13" t="str">
        <x:v>Yes</x:v>
      </x:c>
      <x:c r="M23" s="16" t="n">
        <x:f>I23-H23</x:f>
        <x:v>6300000</x:v>
      </x:c>
      <x:c r="N23" s="16" t="n">
        <x:f>J23-H23</x:f>
        <x:v>12600000</x:v>
      </x:c>
      <x:c r="O23" s="24" t="n">
        <x:f>IFERROR(M23/I23,0)</x:f>
        <x:v>0.25925925925925924</x:v>
      </x:c>
      <x:c r="P23" s="24" t="n">
        <x:f>IFERROR(N23/J23,0)</x:f>
        <x:v>0.4117647058823529</x:v>
      </x:c>
      <x:c r="Q23" s="13" t="str">
        <x:v>Editable theo từng chiến dịch</x:v>
      </x:c>
      <x:c r="R23" s="13" t="str">
        <x:v>40% deposit / 60% before submission</x:v>
      </x:c>
      <x:c r="S23" s="13" t="str">
        <x:v>Draft</x:v>
      </x:c>
      <x:c r="T23" s="28" t="n">
        <x:v>46199</x:v>
      </x:c>
      <x:c r="U23" s="13" t="str">
        <x:v>Ops/Accounting</x:v>
      </x:c>
    </x:row>
    <x:row r="24">
      <x:c r="A24" s="13" t="n">
        <x:v>23</x:v>
      </x:c>
      <x:c r="B24" s="13" t="str">
        <x:v>US-STUDY-M1-VOCATIONAL</x:v>
      </x:c>
      <x:c r="C24" s="13" t="str">
        <x:v>VIS-US-ST02</x:v>
      </x:c>
      <x:c r="D24" s="13" t="str">
        <x:v>Mỹ</x:v>
      </x:c>
      <x:c r="E24" s="13" t="str">
        <x:v>Du học nghề Mỹ</x:v>
      </x:c>
      <x:c r="F24" s="13" t="str">
        <x:v>VND</x:v>
      </x:c>
      <x:c r="G24" s="13" t="n">
        <x:v>1</x:v>
      </x:c>
      <x:c r="H24" s="16" t="n">
        <x:v>18000000</x:v>
      </x:c>
      <x:c r="I24" s="16" t="n">
        <x:v>24300000</x:v>
      </x:c>
      <x:c r="J24" s="16" t="n">
        <x:v>30600000</x:v>
      </x:c>
      <x:c r="K24" s="20" t="n">
        <x:v>0.08</x:v>
      </x:c>
      <x:c r="L24" s="13" t="str">
        <x:v>Yes</x:v>
      </x:c>
      <x:c r="M24" s="16" t="n">
        <x:f>I24-H24</x:f>
        <x:v>6300000</x:v>
      </x:c>
      <x:c r="N24" s="16" t="n">
        <x:f>J24-H24</x:f>
        <x:v>12600000</x:v>
      </x:c>
      <x:c r="O24" s="24" t="n">
        <x:f>IFERROR(M24/I24,0)</x:f>
        <x:v>0.25925925925925924</x:v>
      </x:c>
      <x:c r="P24" s="24" t="n">
        <x:f>IFERROR(N24/J24,0)</x:f>
        <x:v>0.4117647058823529</x:v>
      </x:c>
      <x:c r="Q24" s="13" t="str">
        <x:v>Editable theo từng chiến dịch</x:v>
      </x:c>
      <x:c r="R24" s="13" t="str">
        <x:v>40% deposit / 60% before submission</x:v>
      </x:c>
      <x:c r="S24" s="13" t="str">
        <x:v>Draft</x:v>
      </x:c>
      <x:c r="T24" s="28" t="n">
        <x:v>46199</x:v>
      </x:c>
      <x:c r="U24" s="13" t="str">
        <x:v>Ops/Accounting</x:v>
      </x:c>
    </x:row>
    <x:row r="25">
      <x:c r="A25" s="13" t="n">
        <x:v>24</x:v>
      </x:c>
      <x:c r="B25" s="13" t="str">
        <x:v>US-STUDY-J1-EXCHANGE</x:v>
      </x:c>
      <x:c r="C25" s="13" t="str">
        <x:v>VIS-US-ST03</x:v>
      </x:c>
      <x:c r="D25" s="13" t="str">
        <x:v>Mỹ</x:v>
      </x:c>
      <x:c r="E25" s="13" t="str">
        <x:v>Giao lưu văn hóa/trao đổi Mỹ</x:v>
      </x:c>
      <x:c r="F25" s="13" t="str">
        <x:v>VND</x:v>
      </x:c>
      <x:c r="G25" s="13" t="n">
        <x:v>1</x:v>
      </x:c>
      <x:c r="H25" s="16" t="n">
        <x:v>18000000</x:v>
      </x:c>
      <x:c r="I25" s="16" t="n">
        <x:v>24300000</x:v>
      </x:c>
      <x:c r="J25" s="16" t="n">
        <x:v>30600000</x:v>
      </x:c>
      <x:c r="K25" s="20" t="n">
        <x:v>0.08</x:v>
      </x:c>
      <x:c r="L25" s="13" t="str">
        <x:v>Yes</x:v>
      </x:c>
      <x:c r="M25" s="16" t="n">
        <x:f>I25-H25</x:f>
        <x:v>6300000</x:v>
      </x:c>
      <x:c r="N25" s="16" t="n">
        <x:f>J25-H25</x:f>
        <x:v>12600000</x:v>
      </x:c>
      <x:c r="O25" s="24" t="n">
        <x:f>IFERROR(M25/I25,0)</x:f>
        <x:v>0.25925925925925924</x:v>
      </x:c>
      <x:c r="P25" s="24" t="n">
        <x:f>IFERROR(N25/J25,0)</x:f>
        <x:v>0.4117647058823529</x:v>
      </x:c>
      <x:c r="Q25" s="13" t="str">
        <x:v>Editable theo từng chiến dịch</x:v>
      </x:c>
      <x:c r="R25" s="13" t="str">
        <x:v>40% deposit / 60% before submission</x:v>
      </x:c>
      <x:c r="S25" s="13" t="str">
        <x:v>Draft</x:v>
      </x:c>
      <x:c r="T25" s="28" t="n">
        <x:v>46199</x:v>
      </x:c>
      <x:c r="U25" s="13" t="str">
        <x:v>Ops/Accounting</x:v>
      </x:c>
    </x:row>
    <x:row r="26">
      <x:c r="A26" s="13" t="n">
        <x:v>25</x:v>
      </x:c>
      <x:c r="B26" s="13" t="str">
        <x:v>AU-STUDY-SUBCLASS500</x:v>
      </x:c>
      <x:c r="C26" s="13" t="str">
        <x:v>VIS-AU-ST01</x:v>
      </x:c>
      <x:c r="D26" s="13" t="str">
        <x:v>Úc</x:v>
      </x:c>
      <x:c r="E26" s="13" t="str">
        <x:v>Student Visa Úc</x:v>
      </x:c>
      <x:c r="F26" s="13" t="str">
        <x:v>VND</x:v>
      </x:c>
      <x:c r="G26" s="13" t="n">
        <x:v>1</x:v>
      </x:c>
      <x:c r="H26" s="16" t="n">
        <x:v>18000000</x:v>
      </x:c>
      <x:c r="I26" s="16" t="n">
        <x:v>24300000</x:v>
      </x:c>
      <x:c r="J26" s="16" t="n">
        <x:v>30600000</x:v>
      </x:c>
      <x:c r="K26" s="20" t="n">
        <x:v>0.08</x:v>
      </x:c>
      <x:c r="L26" s="13" t="str">
        <x:v>Yes</x:v>
      </x:c>
      <x:c r="M26" s="16" t="n">
        <x:f>I26-H26</x:f>
        <x:v>6300000</x:v>
      </x:c>
      <x:c r="N26" s="16" t="n">
        <x:f>J26-H26</x:f>
        <x:v>12600000</x:v>
      </x:c>
      <x:c r="O26" s="24" t="n">
        <x:f>IFERROR(M26/I26,0)</x:f>
        <x:v>0.25925925925925924</x:v>
      </x:c>
      <x:c r="P26" s="24" t="n">
        <x:f>IFERROR(N26/J26,0)</x:f>
        <x:v>0.4117647058823529</x:v>
      </x:c>
      <x:c r="Q26" s="13" t="str">
        <x:v>Editable theo từng chiến dịch</x:v>
      </x:c>
      <x:c r="R26" s="13" t="str">
        <x:v>40% deposit / 60% before submission</x:v>
      </x:c>
      <x:c r="S26" s="13" t="str">
        <x:v>Draft</x:v>
      </x:c>
      <x:c r="T26" s="28" t="n">
        <x:v>46199</x:v>
      </x:c>
      <x:c r="U26" s="13" t="str">
        <x:v>Ops/Accounting</x:v>
      </x:c>
    </x:row>
    <x:row r="27">
      <x:c r="A27" s="13" t="n">
        <x:v>26</x:v>
      </x:c>
      <x:c r="B27" s="13" t="str">
        <x:v>AU-STUDY-GD-SUBCLASS590</x:v>
      </x:c>
      <x:c r="C27" s="13" t="str">
        <x:v>VIS-AU-ST02</x:v>
      </x:c>
      <x:c r="D27" s="13" t="str">
        <x:v>Úc</x:v>
      </x:c>
      <x:c r="E27" s="13" t="str">
        <x:v>Người giám hộ du học sinh Úc</x:v>
      </x:c>
      <x:c r="F27" s="13" t="str">
        <x:v>VND</x:v>
      </x:c>
      <x:c r="G27" s="13" t="n">
        <x:v>1</x:v>
      </x:c>
      <x:c r="H27" s="16" t="n">
        <x:v>18000000</x:v>
      </x:c>
      <x:c r="I27" s="16" t="n">
        <x:v>24300000</x:v>
      </x:c>
      <x:c r="J27" s="16" t="n">
        <x:v>30600000</x:v>
      </x:c>
      <x:c r="K27" s="20" t="n">
        <x:v>0.08</x:v>
      </x:c>
      <x:c r="L27" s="13" t="str">
        <x:v>Yes</x:v>
      </x:c>
      <x:c r="M27" s="16" t="n">
        <x:f>I27-H27</x:f>
        <x:v>6300000</x:v>
      </x:c>
      <x:c r="N27" s="16" t="n">
        <x:f>J27-H27</x:f>
        <x:v>12600000</x:v>
      </x:c>
      <x:c r="O27" s="24" t="n">
        <x:f>IFERROR(M27/I27,0)</x:f>
        <x:v>0.25925925925925924</x:v>
      </x:c>
      <x:c r="P27" s="24" t="n">
        <x:f>IFERROR(N27/J27,0)</x:f>
        <x:v>0.4117647058823529</x:v>
      </x:c>
      <x:c r="Q27" s="13" t="str">
        <x:v>Editable theo từng chiến dịch</x:v>
      </x:c>
      <x:c r="R27" s="13" t="str">
        <x:v>40% deposit / 60% before submission</x:v>
      </x:c>
      <x:c r="S27" s="13" t="str">
        <x:v>Draft</x:v>
      </x:c>
      <x:c r="T27" s="28" t="n">
        <x:v>46199</x:v>
      </x:c>
      <x:c r="U27" s="13" t="str">
        <x:v>Ops/Accounting</x:v>
      </x:c>
    </x:row>
    <x:row r="28">
      <x:c r="A28" s="13" t="n">
        <x:v>27</x:v>
      </x:c>
      <x:c r="B28" s="13" t="str">
        <x:v>CA-STUDY-PERMIT-REGULAR</x:v>
      </x:c>
      <x:c r="C28" s="13" t="str">
        <x:v>VIS-CA-ST01</x:v>
      </x:c>
      <x:c r="D28" s="13" t="str">
        <x:v>Canada</x:v>
      </x:c>
      <x:c r="E28" s="13" t="str">
        <x:v>Study Permit Canada thường</x:v>
      </x:c>
      <x:c r="F28" s="13" t="str">
        <x:v>VND</x:v>
      </x:c>
      <x:c r="G28" s="13" t="n">
        <x:v>1</x:v>
      </x:c>
      <x:c r="H28" s="16" t="n">
        <x:v>18000000</x:v>
      </x:c>
      <x:c r="I28" s="16" t="n">
        <x:v>24300000</x:v>
      </x:c>
      <x:c r="J28" s="16" t="n">
        <x:v>30600000</x:v>
      </x:c>
      <x:c r="K28" s="20" t="n">
        <x:v>0.08</x:v>
      </x:c>
      <x:c r="L28" s="13" t="str">
        <x:v>Yes</x:v>
      </x:c>
      <x:c r="M28" s="16" t="n">
        <x:f>I28-H28</x:f>
        <x:v>6300000</x:v>
      </x:c>
      <x:c r="N28" s="16" t="n">
        <x:f>J28-H28</x:f>
        <x:v>12600000</x:v>
      </x:c>
      <x:c r="O28" s="24" t="n">
        <x:f>IFERROR(M28/I28,0)</x:f>
        <x:v>0.25925925925925924</x:v>
      </x:c>
      <x:c r="P28" s="24" t="n">
        <x:f>IFERROR(N28/J28,0)</x:f>
        <x:v>0.4117647058823529</x:v>
      </x:c>
      <x:c r="Q28" s="13" t="str">
        <x:v>Editable theo từng chiến dịch</x:v>
      </x:c>
      <x:c r="R28" s="13" t="str">
        <x:v>40% deposit / 60% before submission</x:v>
      </x:c>
      <x:c r="S28" s="13" t="str">
        <x:v>Draft</x:v>
      </x:c>
      <x:c r="T28" s="28" t="n">
        <x:v>46199</x:v>
      </x:c>
      <x:c r="U28" s="13" t="str">
        <x:v>Ops/Accounting</x:v>
      </x:c>
    </x:row>
    <x:row r="29">
      <x:c r="A29" s="13" t="n">
        <x:v>28</x:v>
      </x:c>
      <x:c r="B29" s="13" t="str">
        <x:v>CA-STUDY-PERMIT-SDS</x:v>
      </x:c>
      <x:c r="C29" s="13" t="str">
        <x:v>VIS-CA-ST02</x:v>
      </x:c>
      <x:c r="D29" s="13" t="str">
        <x:v>Canada</x:v>
      </x:c>
      <x:c r="E29" s="13" t="str">
        <x:v>Study Permit diện SDS</x:v>
      </x:c>
      <x:c r="F29" s="13" t="str">
        <x:v>VND</x:v>
      </x:c>
      <x:c r="G29" s="13" t="n">
        <x:v>1</x:v>
      </x:c>
      <x:c r="H29" s="16" t="n">
        <x:v>18000000</x:v>
      </x:c>
      <x:c r="I29" s="16" t="n">
        <x:v>24300000</x:v>
      </x:c>
      <x:c r="J29" s="16" t="n">
        <x:v>30600000</x:v>
      </x:c>
      <x:c r="K29" s="20" t="n">
        <x:v>0.08</x:v>
      </x:c>
      <x:c r="L29" s="13" t="str">
        <x:v>Yes</x:v>
      </x:c>
      <x:c r="M29" s="16" t="n">
        <x:f>I29-H29</x:f>
        <x:v>6300000</x:v>
      </x:c>
      <x:c r="N29" s="16" t="n">
        <x:f>J29-H29</x:f>
        <x:v>12600000</x:v>
      </x:c>
      <x:c r="O29" s="24" t="n">
        <x:f>IFERROR(M29/I29,0)</x:f>
        <x:v>0.25925925925925924</x:v>
      </x:c>
      <x:c r="P29" s="24" t="n">
        <x:f>IFERROR(N29/J29,0)</x:f>
        <x:v>0.4117647058823529</x:v>
      </x:c>
      <x:c r="Q29" s="13" t="str">
        <x:v>Editable theo từng chiến dịch</x:v>
      </x:c>
      <x:c r="R29" s="13" t="str">
        <x:v>40% deposit / 60% before submission</x:v>
      </x:c>
      <x:c r="S29" s="13" t="str">
        <x:v>Draft</x:v>
      </x:c>
      <x:c r="T29" s="28" t="n">
        <x:v>46199</x:v>
      </x:c>
      <x:c r="U29" s="13" t="str">
        <x:v>Ops/Accounting</x:v>
      </x:c>
    </x:row>
    <x:row r="30">
      <x:c r="A30" s="13" t="n">
        <x:v>29</x:v>
      </x:c>
      <x:c r="B30" s="13" t="str">
        <x:v>CA-STUDY-VISITOR-SHORT</x:v>
      </x:c>
      <x:c r="C30" s="13" t="str">
        <x:v>VIS-CA-ST03</x:v>
      </x:c>
      <x:c r="D30" s="13" t="str">
        <x:v>Canada</x:v>
      </x:c>
      <x:c r="E30" s="13" t="str">
        <x:v>Khóa học ngắn hạn Canada</x:v>
      </x:c>
      <x:c r="F30" s="13" t="str">
        <x:v>VND</x:v>
      </x:c>
      <x:c r="G30" s="13" t="n">
        <x:v>1</x:v>
      </x:c>
      <x:c r="H30" s="16" t="n">
        <x:v>18000000</x:v>
      </x:c>
      <x:c r="I30" s="16" t="n">
        <x:v>24300000</x:v>
      </x:c>
      <x:c r="J30" s="16" t="n">
        <x:v>30600000</x:v>
      </x:c>
      <x:c r="K30" s="20" t="n">
        <x:v>0.08</x:v>
      </x:c>
      <x:c r="L30" s="13" t="str">
        <x:v>Yes</x:v>
      </x:c>
      <x:c r="M30" s="16" t="n">
        <x:f>I30-H30</x:f>
        <x:v>6300000</x:v>
      </x:c>
      <x:c r="N30" s="16" t="n">
        <x:f>J30-H30</x:f>
        <x:v>12600000</x:v>
      </x:c>
      <x:c r="O30" s="24" t="n">
        <x:f>IFERROR(M30/I30,0)</x:f>
        <x:v>0.25925925925925924</x:v>
      </x:c>
      <x:c r="P30" s="24" t="n">
        <x:f>IFERROR(N30/J30,0)</x:f>
        <x:v>0.4117647058823529</x:v>
      </x:c>
      <x:c r="Q30" s="13" t="str">
        <x:v>Editable theo từng chiến dịch</x:v>
      </x:c>
      <x:c r="R30" s="13" t="str">
        <x:v>40% deposit / 60% before submission</x:v>
      </x:c>
      <x:c r="S30" s="13" t="str">
        <x:v>Draft</x:v>
      </x:c>
      <x:c r="T30" s="28" t="n">
        <x:v>46199</x:v>
      </x:c>
      <x:c r="U30" s="13" t="str">
        <x:v>Ops/Accounting</x:v>
      </x:c>
    </x:row>
    <x:row r="31">
      <x:c r="A31" s="13" t="n">
        <x:v>30</x:v>
      </x:c>
      <x:c r="B31" s="13" t="str">
        <x:v>NZ-STUDY-FEE-PAYING</x:v>
      </x:c>
      <x:c r="C31" s="13" t="str">
        <x:v>VIS-NZ-ST01</x:v>
      </x:c>
      <x:c r="D31" s="13" t="str">
        <x:v>New Zealand</x:v>
      </x:c>
      <x:c r="E31" s="13" t="str">
        <x:v>Fee Paying Student Visa</x:v>
      </x:c>
      <x:c r="F31" s="13" t="str">
        <x:v>VND</x:v>
      </x:c>
      <x:c r="G31" s="13" t="n">
        <x:v>1</x:v>
      </x:c>
      <x:c r="H31" s="16" t="n">
        <x:v>12000000</x:v>
      </x:c>
      <x:c r="I31" s="16" t="n">
        <x:v>16200000</x:v>
      </x:c>
      <x:c r="J31" s="16" t="n">
        <x:v>20400000</x:v>
      </x:c>
      <x:c r="K31" s="20" t="n">
        <x:v>0.08</x:v>
      </x:c>
      <x:c r="L31" s="13" t="str">
        <x:v>Yes</x:v>
      </x:c>
      <x:c r="M31" s="16" t="n">
        <x:f>I31-H31</x:f>
        <x:v>4200000</x:v>
      </x:c>
      <x:c r="N31" s="16" t="n">
        <x:f>J31-H31</x:f>
        <x:v>8400000</x:v>
      </x:c>
      <x:c r="O31" s="24" t="n">
        <x:f>IFERROR(M31/I31,0)</x:f>
        <x:v>0.25925925925925924</x:v>
      </x:c>
      <x:c r="P31" s="24" t="n">
        <x:f>IFERROR(N31/J31,0)</x:f>
        <x:v>0.4117647058823529</x:v>
      </x:c>
      <x:c r="Q31" s="13" t="str">
        <x:v>Editable theo từng chiến dịch</x:v>
      </x:c>
      <x:c r="R31" s="13" t="str">
        <x:v>40% deposit / 60% before submission</x:v>
      </x:c>
      <x:c r="S31" s="13" t="str">
        <x:v>Draft</x:v>
      </x:c>
      <x:c r="T31" s="28" t="n">
        <x:v>46199</x:v>
      </x:c>
      <x:c r="U31" s="13" t="str">
        <x:v>Ops/Accounting</x:v>
      </x:c>
    </x:row>
    <x:row r="32">
      <x:c r="A32" s="13" t="n">
        <x:v>31</x:v>
      </x:c>
      <x:c r="B32" s="13" t="str">
        <x:v>NZ-STUDY-PATHWAY</x:v>
      </x:c>
      <x:c r="C32" s="13" t="str">
        <x:v>VIS-NZ-ST02</x:v>
      </x:c>
      <x:c r="D32" s="13" t="str">
        <x:v>New Zealand</x:v>
      </x:c>
      <x:c r="E32" s="13" t="str">
        <x:v>Pathway Student Visa</x:v>
      </x:c>
      <x:c r="F32" s="13" t="str">
        <x:v>VND</x:v>
      </x:c>
      <x:c r="G32" s="13" t="n">
        <x:v>1</x:v>
      </x:c>
      <x:c r="H32" s="16" t="n">
        <x:v>12000000</x:v>
      </x:c>
      <x:c r="I32" s="16" t="n">
        <x:v>16200000</x:v>
      </x:c>
      <x:c r="J32" s="16" t="n">
        <x:v>20400000</x:v>
      </x:c>
      <x:c r="K32" s="20" t="n">
        <x:v>0.08</x:v>
      </x:c>
      <x:c r="L32" s="13" t="str">
        <x:v>Yes</x:v>
      </x:c>
      <x:c r="M32" s="16" t="n">
        <x:f>I32-H32</x:f>
        <x:v>4200000</x:v>
      </x:c>
      <x:c r="N32" s="16" t="n">
        <x:f>J32-H32</x:f>
        <x:v>8400000</x:v>
      </x:c>
      <x:c r="O32" s="24" t="n">
        <x:f>IFERROR(M32/I32,0)</x:f>
        <x:v>0.25925925925925924</x:v>
      </x:c>
      <x:c r="P32" s="24" t="n">
        <x:f>IFERROR(N32/J32,0)</x:f>
        <x:v>0.4117647058823529</x:v>
      </x:c>
      <x:c r="Q32" s="13" t="str">
        <x:v>Editable theo từng chiến dịch</x:v>
      </x:c>
      <x:c r="R32" s="13" t="str">
        <x:v>40% deposit / 60% before submission</x:v>
      </x:c>
      <x:c r="S32" s="13" t="str">
        <x:v>Draft</x:v>
      </x:c>
      <x:c r="T32" s="28" t="n">
        <x:v>46199</x:v>
      </x:c>
      <x:c r="U32" s="13" t="str">
        <x:v>Ops/Accounting</x:v>
      </x:c>
    </x:row>
    <x:row r="33">
      <x:c r="A33" s="13" t="n">
        <x:v>32</x:v>
      </x:c>
      <x:c r="B33" s="13" t="str">
        <x:v>NZ-STUDY-EXCHANGE</x:v>
      </x:c>
      <x:c r="C33" s="13" t="str">
        <x:v>VIS-NZ-ST03</x:v>
      </x:c>
      <x:c r="D33" s="13" t="str">
        <x:v>New Zealand</x:v>
      </x:c>
      <x:c r="E33" s="13" t="str">
        <x:v>Exchange Student Visa</x:v>
      </x:c>
      <x:c r="F33" s="13" t="str">
        <x:v>VND</x:v>
      </x:c>
      <x:c r="G33" s="13" t="n">
        <x:v>1</x:v>
      </x:c>
      <x:c r="H33" s="16" t="n">
        <x:v>12000000</x:v>
      </x:c>
      <x:c r="I33" s="16" t="n">
        <x:v>16200000</x:v>
      </x:c>
      <x:c r="J33" s="16" t="n">
        <x:v>20400000</x:v>
      </x:c>
      <x:c r="K33" s="20" t="n">
        <x:v>0.08</x:v>
      </x:c>
      <x:c r="L33" s="13" t="str">
        <x:v>Yes</x:v>
      </x:c>
      <x:c r="M33" s="16" t="n">
        <x:f>I33-H33</x:f>
        <x:v>4200000</x:v>
      </x:c>
      <x:c r="N33" s="16" t="n">
        <x:f>J33-H33</x:f>
        <x:v>8400000</x:v>
      </x:c>
      <x:c r="O33" s="24" t="n">
        <x:f>IFERROR(M33/I33,0)</x:f>
        <x:v>0.25925925925925924</x:v>
      </x:c>
      <x:c r="P33" s="24" t="n">
        <x:f>IFERROR(N33/J33,0)</x:f>
        <x:v>0.4117647058823529</x:v>
      </x:c>
      <x:c r="Q33" s="13" t="str">
        <x:v>Editable theo từng chiến dịch</x:v>
      </x:c>
      <x:c r="R33" s="13" t="str">
        <x:v>40% deposit / 60% before submission</x:v>
      </x:c>
      <x:c r="S33" s="13" t="str">
        <x:v>Draft</x:v>
      </x:c>
      <x:c r="T33" s="28" t="n">
        <x:v>46199</x:v>
      </x:c>
      <x:c r="U33" s="13" t="str">
        <x:v>Ops/Accounting</x:v>
      </x:c>
    </x:row>
    <x:row r="34">
      <x:c r="A34" s="13" t="n">
        <x:v>33</x:v>
      </x:c>
      <x:c r="B34" s="13" t="str">
        <x:v>NZ-STUDY-FOREIGN-DOMESTIC</x:v>
      </x:c>
      <x:c r="C34" s="13" t="str">
        <x:v>VIS-NZ-ST04</x:v>
      </x:c>
      <x:c r="D34" s="13" t="str">
        <x:v>New Zealand</x:v>
      </x:c>
      <x:c r="E34" s="13" t="str">
        <x:v>Foreign Domestic Student Visa</x:v>
      </x:c>
      <x:c r="F34" s="13" t="str">
        <x:v>VND</x:v>
      </x:c>
      <x:c r="G34" s="13" t="n">
        <x:v>1</x:v>
      </x:c>
      <x:c r="H34" s="16" t="n">
        <x:v>12000000</x:v>
      </x:c>
      <x:c r="I34" s="16" t="n">
        <x:v>16200000</x:v>
      </x:c>
      <x:c r="J34" s="16" t="n">
        <x:v>20400000</x:v>
      </x:c>
      <x:c r="K34" s="20" t="n">
        <x:v>0.08</x:v>
      </x:c>
      <x:c r="L34" s="13" t="str">
        <x:v>Yes</x:v>
      </x:c>
      <x:c r="M34" s="16" t="n">
        <x:f>I34-H34</x:f>
        <x:v>4200000</x:v>
      </x:c>
      <x:c r="N34" s="16" t="n">
        <x:f>J34-H34</x:f>
        <x:v>8400000</x:v>
      </x:c>
      <x:c r="O34" s="24" t="n">
        <x:f>IFERROR(M34/I34,0)</x:f>
        <x:v>0.25925925925925924</x:v>
      </x:c>
      <x:c r="P34" s="24" t="n">
        <x:f>IFERROR(N34/J34,0)</x:f>
        <x:v>0.4117647058823529</x:v>
      </x:c>
      <x:c r="Q34" s="13" t="str">
        <x:v>Editable theo từng chiến dịch</x:v>
      </x:c>
      <x:c r="R34" s="13" t="str">
        <x:v>40% deposit / 60% before submission</x:v>
      </x:c>
      <x:c r="S34" s="13" t="str">
        <x:v>Draft</x:v>
      </x:c>
      <x:c r="T34" s="28" t="n">
        <x:v>46199</x:v>
      </x:c>
      <x:c r="U34" s="13" t="str">
        <x:v>Ops/Accounting</x:v>
      </x:c>
    </x:row>
    <x:row r="35">
      <x:c r="H35" s="17"/>
      <x:c r="I35" s="17"/>
      <x:c r="J35" s="17"/>
      <x:c r="K35" s="21"/>
      <x:c r="M35" s="17"/>
      <x:c r="N35" s="17"/>
      <x:c r="O35" s="25"/>
      <x:c r="P35" s="25"/>
      <x:c r="T35" s="29"/>
    </x:row>
    <x:row r="36">
      <x:c r="H36" s="17"/>
      <x:c r="I36" s="17"/>
      <x:c r="J36" s="17"/>
      <x:c r="K36" s="21"/>
      <x:c r="M36" s="17"/>
      <x:c r="N36" s="17"/>
      <x:c r="O36" s="25"/>
      <x:c r="P36" s="25"/>
      <x:c r="T36" s="29"/>
    </x:row>
    <x:row r="37">
      <x:c r="H37" s="17"/>
      <x:c r="I37" s="17"/>
      <x:c r="J37" s="17"/>
      <x:c r="K37" s="21"/>
      <x:c r="M37" s="17"/>
      <x:c r="N37" s="17"/>
      <x:c r="O37" s="25"/>
      <x:c r="P37" s="25"/>
      <x:c r="T37" s="29"/>
    </x:row>
    <x:row r="38">
      <x:c r="H38" s="17"/>
      <x:c r="I38" s="17"/>
      <x:c r="J38" s="17"/>
      <x:c r="K38" s="21"/>
      <x:c r="M38" s="17"/>
      <x:c r="N38" s="17"/>
      <x:c r="O38" s="25"/>
      <x:c r="P38" s="25"/>
      <x:c r="T38" s="29"/>
    </x:row>
    <x:row r="39">
      <x:c r="H39" s="17"/>
      <x:c r="I39" s="17"/>
      <x:c r="J39" s="17"/>
      <x:c r="K39" s="21"/>
      <x:c r="M39" s="17"/>
      <x:c r="N39" s="17"/>
      <x:c r="O39" s="25"/>
      <x:c r="P39" s="25"/>
      <x:c r="T39" s="29"/>
    </x:row>
    <x:row r="40">
      <x:c r="H40" s="17"/>
      <x:c r="I40" s="17"/>
      <x:c r="J40" s="17"/>
      <x:c r="K40" s="21"/>
      <x:c r="M40" s="17"/>
      <x:c r="N40" s="17"/>
      <x:c r="O40" s="25"/>
      <x:c r="P40" s="25"/>
      <x:c r="T40" s="29"/>
    </x:row>
    <x:row r="41">
      <x:c r="H41" s="17"/>
      <x:c r="I41" s="17"/>
      <x:c r="J41" s="17"/>
      <x:c r="K41" s="21"/>
      <x:c r="M41" s="17"/>
      <x:c r="N41" s="17"/>
      <x:c r="O41" s="25"/>
      <x:c r="P41" s="25"/>
      <x:c r="T41" s="29"/>
    </x:row>
    <x:row r="42">
      <x:c r="H42" s="17"/>
      <x:c r="I42" s="17"/>
      <x:c r="J42" s="17"/>
      <x:c r="K42" s="21"/>
      <x:c r="M42" s="17"/>
      <x:c r="N42" s="17"/>
      <x:c r="O42" s="25"/>
      <x:c r="P42" s="25"/>
      <x:c r="T42" s="29"/>
    </x:row>
    <x:row r="43">
      <x:c r="H43" s="17"/>
      <x:c r="I43" s="17"/>
      <x:c r="J43" s="17"/>
      <x:c r="K43" s="21"/>
      <x:c r="M43" s="17"/>
      <x:c r="N43" s="17"/>
      <x:c r="O43" s="25"/>
      <x:c r="P43" s="25"/>
      <x:c r="T43" s="29"/>
    </x:row>
    <x:row r="44">
      <x:c r="H44" s="17"/>
      <x:c r="I44" s="17"/>
      <x:c r="J44" s="17"/>
      <x:c r="K44" s="21"/>
      <x:c r="M44" s="17"/>
      <x:c r="N44" s="17"/>
      <x:c r="O44" s="25"/>
      <x:c r="P44" s="25"/>
      <x:c r="T44" s="29"/>
    </x:row>
    <x:row r="45">
      <x:c r="H45" s="17"/>
      <x:c r="I45" s="17"/>
      <x:c r="J45" s="17"/>
      <x:c r="K45" s="21"/>
      <x:c r="M45" s="17"/>
      <x:c r="N45" s="17"/>
      <x:c r="O45" s="25"/>
      <x:c r="P45" s="25"/>
      <x:c r="T45" s="29"/>
    </x:row>
    <x:row r="46">
      <x:c r="H46" s="17"/>
      <x:c r="I46" s="17"/>
      <x:c r="J46" s="17"/>
      <x:c r="K46" s="21"/>
      <x:c r="M46" s="17"/>
      <x:c r="N46" s="17"/>
      <x:c r="O46" s="25"/>
      <x:c r="P46" s="25"/>
      <x:c r="T46" s="29"/>
    </x:row>
    <x:row r="47">
      <x:c r="H47" s="17"/>
      <x:c r="I47" s="17"/>
      <x:c r="J47" s="17"/>
      <x:c r="K47" s="21"/>
      <x:c r="M47" s="17"/>
      <x:c r="N47" s="17"/>
      <x:c r="O47" s="25"/>
      <x:c r="P47" s="25"/>
      <x:c r="T47" s="29"/>
    </x:row>
    <x:row r="48">
      <x:c r="H48" s="17"/>
      <x:c r="I48" s="17"/>
      <x:c r="J48" s="17"/>
      <x:c r="K48" s="21"/>
      <x:c r="M48" s="17"/>
      <x:c r="N48" s="17"/>
      <x:c r="O48" s="25"/>
      <x:c r="P48" s="25"/>
      <x:c r="T48" s="29"/>
    </x:row>
    <x:row r="49">
      <x:c r="H49" s="17"/>
      <x:c r="I49" s="17"/>
      <x:c r="J49" s="17"/>
      <x:c r="K49" s="21"/>
      <x:c r="M49" s="17"/>
      <x:c r="N49" s="17"/>
      <x:c r="O49" s="25"/>
      <x:c r="P49" s="25"/>
      <x:c r="T49" s="29"/>
    </x:row>
    <x:row r="50">
      <x:c r="H50" s="17"/>
      <x:c r="I50" s="17"/>
      <x:c r="J50" s="17"/>
      <x:c r="K50" s="21"/>
      <x:c r="M50" s="17"/>
      <x:c r="N50" s="17"/>
      <x:c r="O50" s="25"/>
      <x:c r="P50" s="25"/>
      <x:c r="T50" s="29"/>
    </x:row>
    <x:row r="51">
      <x:c r="H51" s="17"/>
      <x:c r="I51" s="17"/>
      <x:c r="J51" s="17"/>
      <x:c r="K51" s="21"/>
      <x:c r="M51" s="17"/>
      <x:c r="N51" s="17"/>
      <x:c r="O51" s="25"/>
      <x:c r="P51" s="25"/>
      <x:c r="T51" s="29"/>
    </x:row>
    <x:row r="52">
      <x:c r="H52" s="17"/>
      <x:c r="I52" s="17"/>
      <x:c r="J52" s="17"/>
      <x:c r="K52" s="21"/>
      <x:c r="M52" s="17"/>
      <x:c r="N52" s="17"/>
      <x:c r="O52" s="25"/>
      <x:c r="P52" s="25"/>
      <x:c r="T52" s="29"/>
    </x:row>
    <x:row r="53">
      <x:c r="H53" s="17"/>
      <x:c r="I53" s="17"/>
      <x:c r="J53" s="17"/>
      <x:c r="K53" s="21"/>
      <x:c r="M53" s="17"/>
      <x:c r="N53" s="17"/>
      <x:c r="O53" s="25"/>
      <x:c r="P53" s="25"/>
      <x:c r="T53" s="29"/>
    </x:row>
    <x:row r="54">
      <x:c r="H54" s="17"/>
      <x:c r="I54" s="17"/>
      <x:c r="J54" s="17"/>
      <x:c r="K54" s="21"/>
      <x:c r="M54" s="17"/>
      <x:c r="N54" s="17"/>
      <x:c r="O54" s="25"/>
      <x:c r="P54" s="25"/>
      <x:c r="T54" s="29"/>
    </x:row>
    <x:row r="55">
      <x:c r="H55" s="17"/>
      <x:c r="I55" s="17"/>
      <x:c r="J55" s="17"/>
      <x:c r="K55" s="21"/>
      <x:c r="M55" s="17"/>
      <x:c r="N55" s="17"/>
      <x:c r="O55" s="25"/>
      <x:c r="P55" s="25"/>
      <x:c r="T55" s="29"/>
    </x:row>
    <x:row r="56">
      <x:c r="H56" s="17"/>
      <x:c r="I56" s="17"/>
      <x:c r="J56" s="17"/>
      <x:c r="K56" s="21"/>
      <x:c r="M56" s="17"/>
      <x:c r="N56" s="17"/>
      <x:c r="O56" s="25"/>
      <x:c r="P56" s="25"/>
      <x:c r="T56" s="29"/>
    </x:row>
    <x:row r="57">
      <x:c r="H57" s="17"/>
      <x:c r="I57" s="17"/>
      <x:c r="J57" s="17"/>
      <x:c r="K57" s="21"/>
      <x:c r="M57" s="17"/>
      <x:c r="N57" s="17"/>
      <x:c r="O57" s="25"/>
      <x:c r="P57" s="25"/>
      <x:c r="T57" s="29"/>
    </x:row>
    <x:row r="58">
      <x:c r="H58" s="17"/>
      <x:c r="I58" s="17"/>
      <x:c r="J58" s="17"/>
      <x:c r="K58" s="21"/>
      <x:c r="M58" s="17"/>
      <x:c r="N58" s="17"/>
      <x:c r="O58" s="25"/>
      <x:c r="P58" s="25"/>
      <x:c r="T58" s="29"/>
    </x:row>
    <x:row r="59">
      <x:c r="H59" s="17"/>
      <x:c r="I59" s="17"/>
      <x:c r="J59" s="17"/>
      <x:c r="K59" s="21"/>
      <x:c r="M59" s="17"/>
      <x:c r="N59" s="17"/>
      <x:c r="O59" s="25"/>
      <x:c r="P59" s="25"/>
      <x:c r="T59" s="29"/>
    </x:row>
    <x:row r="60">
      <x:c r="H60" s="17"/>
      <x:c r="I60" s="17"/>
      <x:c r="J60" s="17"/>
      <x:c r="K60" s="21"/>
      <x:c r="M60" s="17"/>
      <x:c r="N60" s="17"/>
      <x:c r="O60" s="25"/>
      <x:c r="P60" s="25"/>
      <x:c r="T60" s="29"/>
    </x:row>
    <x:row r="61">
      <x:c r="H61" s="17"/>
      <x:c r="I61" s="17"/>
      <x:c r="J61" s="17"/>
      <x:c r="K61" s="21"/>
      <x:c r="M61" s="17"/>
      <x:c r="N61" s="17"/>
      <x:c r="O61" s="25"/>
      <x:c r="P61" s="25"/>
      <x:c r="T61" s="29"/>
    </x:row>
    <x:row r="62">
      <x:c r="H62" s="17"/>
      <x:c r="I62" s="17"/>
      <x:c r="J62" s="17"/>
      <x:c r="K62" s="21"/>
      <x:c r="M62" s="17"/>
      <x:c r="N62" s="17"/>
      <x:c r="O62" s="25"/>
      <x:c r="P62" s="25"/>
      <x:c r="T62" s="29"/>
    </x:row>
    <x:row r="63">
      <x:c r="H63" s="17"/>
      <x:c r="I63" s="17"/>
      <x:c r="J63" s="17"/>
      <x:c r="K63" s="21"/>
      <x:c r="M63" s="17"/>
      <x:c r="N63" s="17"/>
      <x:c r="O63" s="25"/>
      <x:c r="P63" s="25"/>
      <x:c r="T63" s="29"/>
    </x:row>
    <x:row r="64">
      <x:c r="H64" s="17"/>
      <x:c r="I64" s="17"/>
      <x:c r="J64" s="17"/>
      <x:c r="K64" s="21"/>
      <x:c r="M64" s="17"/>
      <x:c r="N64" s="17"/>
      <x:c r="O64" s="25"/>
      <x:c r="P64" s="25"/>
      <x:c r="T64" s="29"/>
    </x:row>
    <x:row r="65">
      <x:c r="H65" s="17"/>
      <x:c r="I65" s="17"/>
      <x:c r="J65" s="17"/>
      <x:c r="K65" s="21"/>
      <x:c r="M65" s="17"/>
      <x:c r="N65" s="17"/>
      <x:c r="O65" s="25"/>
      <x:c r="P65" s="25"/>
      <x:c r="T65" s="29"/>
    </x:row>
    <x:row r="66">
      <x:c r="H66" s="17"/>
      <x:c r="I66" s="17"/>
      <x:c r="J66" s="17"/>
      <x:c r="K66" s="21"/>
      <x:c r="M66" s="17"/>
      <x:c r="N66" s="17"/>
      <x:c r="O66" s="25"/>
      <x:c r="P66" s="25"/>
      <x:c r="T66" s="29"/>
    </x:row>
    <x:row r="67">
      <x:c r="H67" s="17"/>
      <x:c r="I67" s="17"/>
      <x:c r="J67" s="17"/>
      <x:c r="K67" s="21"/>
      <x:c r="M67" s="17"/>
      <x:c r="N67" s="17"/>
      <x:c r="O67" s="25"/>
      <x:c r="P67" s="25"/>
      <x:c r="T67" s="29"/>
    </x:row>
    <x:row r="68">
      <x:c r="H68" s="17"/>
      <x:c r="I68" s="17"/>
      <x:c r="J68" s="17"/>
      <x:c r="K68" s="21"/>
      <x:c r="M68" s="17"/>
      <x:c r="N68" s="17"/>
      <x:c r="O68" s="25"/>
      <x:c r="P68" s="25"/>
      <x:c r="T68" s="29"/>
    </x:row>
    <x:row r="69">
      <x:c r="H69" s="17"/>
      <x:c r="I69" s="17"/>
      <x:c r="J69" s="17"/>
      <x:c r="K69" s="21"/>
      <x:c r="M69" s="17"/>
      <x:c r="N69" s="17"/>
      <x:c r="O69" s="25"/>
      <x:c r="P69" s="25"/>
      <x:c r="T69" s="29"/>
    </x:row>
    <x:row r="70">
      <x:c r="H70" s="17"/>
      <x:c r="I70" s="17"/>
      <x:c r="J70" s="17"/>
      <x:c r="K70" s="21"/>
      <x:c r="M70" s="17"/>
      <x:c r="N70" s="17"/>
      <x:c r="O70" s="25"/>
      <x:c r="P70" s="25"/>
      <x:c r="T70" s="29"/>
    </x:row>
    <x:row r="71">
      <x:c r="H71" s="17"/>
      <x:c r="I71" s="17"/>
      <x:c r="J71" s="17"/>
      <x:c r="K71" s="21"/>
      <x:c r="M71" s="17"/>
      <x:c r="N71" s="17"/>
      <x:c r="O71" s="25"/>
      <x:c r="P71" s="25"/>
      <x:c r="T71" s="29"/>
    </x:row>
    <x:row r="72">
      <x:c r="H72" s="17"/>
      <x:c r="I72" s="17"/>
      <x:c r="J72" s="17"/>
      <x:c r="K72" s="21"/>
      <x:c r="M72" s="17"/>
      <x:c r="N72" s="17"/>
      <x:c r="O72" s="25"/>
      <x:c r="P72" s="25"/>
      <x:c r="T72" s="29"/>
    </x:row>
    <x:row r="73">
      <x:c r="H73" s="17"/>
      <x:c r="I73" s="17"/>
      <x:c r="J73" s="17"/>
      <x:c r="K73" s="21"/>
      <x:c r="M73" s="17"/>
      <x:c r="N73" s="17"/>
      <x:c r="O73" s="25"/>
      <x:c r="P73" s="25"/>
      <x:c r="T73" s="29"/>
    </x:row>
    <x:row r="74">
      <x:c r="H74" s="17"/>
      <x:c r="I74" s="17"/>
      <x:c r="J74" s="17"/>
      <x:c r="K74" s="21"/>
      <x:c r="M74" s="17"/>
      <x:c r="N74" s="17"/>
      <x:c r="O74" s="25"/>
      <x:c r="P74" s="25"/>
      <x:c r="T74" s="29"/>
    </x:row>
    <x:row r="75">
      <x:c r="H75" s="17"/>
      <x:c r="I75" s="17"/>
      <x:c r="J75" s="17"/>
      <x:c r="K75" s="21"/>
      <x:c r="M75" s="17"/>
      <x:c r="N75" s="17"/>
      <x:c r="O75" s="25"/>
      <x:c r="P75" s="25"/>
      <x:c r="T75" s="29"/>
    </x:row>
    <x:row r="76">
      <x:c r="H76" s="17"/>
      <x:c r="I76" s="17"/>
      <x:c r="J76" s="17"/>
      <x:c r="K76" s="21"/>
      <x:c r="M76" s="17"/>
      <x:c r="N76" s="17"/>
      <x:c r="O76" s="25"/>
      <x:c r="P76" s="25"/>
      <x:c r="T76" s="29"/>
    </x:row>
    <x:row r="77">
      <x:c r="H77" s="17"/>
      <x:c r="I77" s="17"/>
      <x:c r="J77" s="17"/>
      <x:c r="K77" s="21"/>
      <x:c r="M77" s="17"/>
      <x:c r="N77" s="17"/>
      <x:c r="O77" s="25"/>
      <x:c r="P77" s="25"/>
      <x:c r="T77" s="29"/>
    </x:row>
    <x:row r="78">
      <x:c r="H78" s="17"/>
      <x:c r="I78" s="17"/>
      <x:c r="J78" s="17"/>
      <x:c r="K78" s="21"/>
      <x:c r="M78" s="17"/>
      <x:c r="N78" s="17"/>
      <x:c r="O78" s="25"/>
      <x:c r="P78" s="25"/>
      <x:c r="T78" s="29"/>
    </x:row>
    <x:row r="79">
      <x:c r="H79" s="17"/>
      <x:c r="I79" s="17"/>
      <x:c r="J79" s="17"/>
      <x:c r="K79" s="21"/>
      <x:c r="M79" s="17"/>
      <x:c r="N79" s="17"/>
      <x:c r="O79" s="25"/>
      <x:c r="P79" s="25"/>
      <x:c r="T79" s="29"/>
    </x:row>
    <x:row r="80">
      <x:c r="H80" s="17"/>
      <x:c r="I80" s="17"/>
      <x:c r="J80" s="17"/>
      <x:c r="K80" s="21"/>
      <x:c r="M80" s="17"/>
      <x:c r="N80" s="17"/>
      <x:c r="O80" s="25"/>
      <x:c r="P80" s="25"/>
      <x:c r="T80" s="29"/>
    </x:row>
    <x:row r="81">
      <x:c r="H81" s="17"/>
      <x:c r="I81" s="17"/>
      <x:c r="J81" s="17"/>
      <x:c r="K81" s="21"/>
      <x:c r="M81" s="17"/>
      <x:c r="N81" s="17"/>
      <x:c r="O81" s="25"/>
      <x:c r="P81" s="25"/>
      <x:c r="T81" s="29"/>
    </x:row>
    <x:row r="82">
      <x:c r="H82" s="17"/>
      <x:c r="I82" s="17"/>
      <x:c r="J82" s="17"/>
      <x:c r="K82" s="21"/>
      <x:c r="M82" s="17"/>
      <x:c r="N82" s="17"/>
      <x:c r="O82" s="25"/>
      <x:c r="P82" s="25"/>
      <x:c r="T82" s="29"/>
    </x:row>
    <x:row r="83">
      <x:c r="H83" s="17"/>
      <x:c r="I83" s="17"/>
      <x:c r="J83" s="17"/>
      <x:c r="K83" s="21"/>
      <x:c r="M83" s="17"/>
      <x:c r="N83" s="17"/>
      <x:c r="O83" s="25"/>
      <x:c r="P83" s="25"/>
      <x:c r="T83" s="29"/>
    </x:row>
    <x:row r="84">
      <x:c r="H84" s="17"/>
      <x:c r="I84" s="17"/>
      <x:c r="J84" s="17"/>
      <x:c r="K84" s="21"/>
      <x:c r="M84" s="17"/>
      <x:c r="N84" s="17"/>
      <x:c r="O84" s="25"/>
      <x:c r="P84" s="25"/>
      <x:c r="T84" s="29"/>
    </x:row>
    <x:row r="85">
      <x:c r="H85" s="17"/>
      <x:c r="I85" s="17"/>
      <x:c r="J85" s="17"/>
      <x:c r="K85" s="21"/>
      <x:c r="M85" s="17"/>
      <x:c r="N85" s="17"/>
      <x:c r="O85" s="25"/>
      <x:c r="P85" s="25"/>
      <x:c r="T85" s="29"/>
    </x:row>
    <x:row r="86">
      <x:c r="H86" s="17"/>
      <x:c r="I86" s="17"/>
      <x:c r="J86" s="17"/>
      <x:c r="K86" s="21"/>
      <x:c r="M86" s="17"/>
      <x:c r="N86" s="17"/>
      <x:c r="O86" s="25"/>
      <x:c r="P86" s="25"/>
      <x:c r="T86" s="29"/>
    </x:row>
    <x:row r="87">
      <x:c r="H87" s="17"/>
      <x:c r="I87" s="17"/>
      <x:c r="J87" s="17"/>
      <x:c r="K87" s="21"/>
      <x:c r="M87" s="17"/>
      <x:c r="N87" s="17"/>
      <x:c r="O87" s="25"/>
      <x:c r="P87" s="25"/>
      <x:c r="T87" s="29"/>
    </x:row>
    <x:row r="88">
      <x:c r="H88" s="17"/>
      <x:c r="I88" s="17"/>
      <x:c r="J88" s="17"/>
      <x:c r="K88" s="21"/>
      <x:c r="M88" s="17"/>
      <x:c r="N88" s="17"/>
      <x:c r="O88" s="25"/>
      <x:c r="P88" s="25"/>
      <x:c r="T88" s="29"/>
    </x:row>
    <x:row r="89">
      <x:c r="H89" s="17"/>
      <x:c r="I89" s="17"/>
      <x:c r="J89" s="17"/>
      <x:c r="K89" s="21"/>
      <x:c r="M89" s="17"/>
      <x:c r="N89" s="17"/>
      <x:c r="O89" s="25"/>
      <x:c r="P89" s="25"/>
      <x:c r="T89" s="29"/>
    </x:row>
    <x:row r="90">
      <x:c r="H90" s="17"/>
      <x:c r="I90" s="17"/>
      <x:c r="J90" s="17"/>
      <x:c r="K90" s="21"/>
      <x:c r="M90" s="17"/>
      <x:c r="N90" s="17"/>
      <x:c r="O90" s="25"/>
      <x:c r="P90" s="25"/>
      <x:c r="T90" s="29"/>
    </x:row>
    <x:row r="91">
      <x:c r="H91" s="17"/>
      <x:c r="I91" s="17"/>
      <x:c r="J91" s="17"/>
      <x:c r="K91" s="21"/>
      <x:c r="M91" s="17"/>
      <x:c r="N91" s="17"/>
      <x:c r="O91" s="25"/>
      <x:c r="P91" s="25"/>
      <x:c r="T91" s="29"/>
    </x:row>
    <x:row r="92">
      <x:c r="H92" s="17"/>
      <x:c r="I92" s="17"/>
      <x:c r="J92" s="17"/>
      <x:c r="K92" s="21"/>
      <x:c r="M92" s="17"/>
      <x:c r="N92" s="17"/>
      <x:c r="O92" s="25"/>
      <x:c r="P92" s="25"/>
      <x:c r="T92" s="29"/>
    </x:row>
    <x:row r="93">
      <x:c r="H93" s="17"/>
      <x:c r="I93" s="17"/>
      <x:c r="J93" s="17"/>
      <x:c r="K93" s="21"/>
      <x:c r="M93" s="17"/>
      <x:c r="N93" s="17"/>
      <x:c r="O93" s="25"/>
      <x:c r="P93" s="25"/>
      <x:c r="T93" s="29"/>
    </x:row>
    <x:row r="94">
      <x:c r="H94" s="17"/>
      <x:c r="I94" s="17"/>
      <x:c r="J94" s="17"/>
      <x:c r="K94" s="21"/>
      <x:c r="M94" s="17"/>
      <x:c r="N94" s="17"/>
      <x:c r="O94" s="25"/>
      <x:c r="P94" s="25"/>
      <x:c r="T94" s="29"/>
    </x:row>
    <x:row r="95">
      <x:c r="H95" s="17"/>
      <x:c r="I95" s="17"/>
      <x:c r="J95" s="17"/>
      <x:c r="K95" s="21"/>
      <x:c r="M95" s="17"/>
      <x:c r="N95" s="17"/>
      <x:c r="O95" s="25"/>
      <x:c r="P95" s="25"/>
      <x:c r="T95" s="29"/>
    </x:row>
    <x:row r="96">
      <x:c r="H96" s="17"/>
      <x:c r="I96" s="17"/>
      <x:c r="J96" s="17"/>
      <x:c r="K96" s="21"/>
      <x:c r="M96" s="17"/>
      <x:c r="N96" s="17"/>
      <x:c r="O96" s="25"/>
      <x:c r="P96" s="25"/>
      <x:c r="T96" s="29"/>
    </x:row>
    <x:row r="97">
      <x:c r="H97" s="17"/>
      <x:c r="I97" s="17"/>
      <x:c r="J97" s="17"/>
      <x:c r="K97" s="21"/>
      <x:c r="M97" s="17"/>
      <x:c r="N97" s="17"/>
      <x:c r="O97" s="25"/>
      <x:c r="P97" s="25"/>
      <x:c r="T97" s="29"/>
    </x:row>
    <x:row r="98">
      <x:c r="H98" s="17"/>
      <x:c r="I98" s="17"/>
      <x:c r="J98" s="17"/>
      <x:c r="K98" s="21"/>
      <x:c r="M98" s="17"/>
      <x:c r="N98" s="17"/>
      <x:c r="O98" s="25"/>
      <x:c r="P98" s="25"/>
      <x:c r="T98" s="29"/>
    </x:row>
    <x:row r="99">
      <x:c r="H99" s="17"/>
      <x:c r="I99" s="17"/>
      <x:c r="J99" s="17"/>
      <x:c r="K99" s="21"/>
      <x:c r="M99" s="17"/>
      <x:c r="N99" s="17"/>
      <x:c r="O99" s="25"/>
      <x:c r="P99" s="25"/>
      <x:c r="T99" s="29"/>
    </x:row>
    <x:row r="100">
      <x:c r="H100" s="17"/>
      <x:c r="I100" s="17"/>
      <x:c r="J100" s="17"/>
      <x:c r="K100" s="21"/>
      <x:c r="M100" s="17"/>
      <x:c r="N100" s="17"/>
      <x:c r="O100" s="25"/>
      <x:c r="P100" s="25"/>
      <x:c r="T100" s="29"/>
    </x:row>
    <x:row r="101">
      <x:c r="H101" s="17"/>
      <x:c r="I101" s="17"/>
      <x:c r="J101" s="17"/>
      <x:c r="K101" s="21"/>
      <x:c r="M101" s="17"/>
      <x:c r="N101" s="17"/>
      <x:c r="O101" s="25"/>
      <x:c r="P101" s="25"/>
      <x:c r="T101" s="29"/>
    </x:row>
    <x:row r="102">
      <x:c r="H102" s="17"/>
      <x:c r="I102" s="17"/>
      <x:c r="J102" s="17"/>
      <x:c r="K102" s="21"/>
      <x:c r="M102" s="17"/>
      <x:c r="N102" s="17"/>
      <x:c r="O102" s="25"/>
      <x:c r="P102" s="25"/>
      <x:c r="T102" s="29"/>
    </x:row>
    <x:row r="103">
      <x:c r="H103" s="17"/>
      <x:c r="I103" s="17"/>
      <x:c r="J103" s="17"/>
      <x:c r="K103" s="21"/>
      <x:c r="M103" s="17"/>
      <x:c r="N103" s="17"/>
      <x:c r="O103" s="25"/>
      <x:c r="P103" s="25"/>
      <x:c r="T103" s="29"/>
    </x:row>
    <x:row r="104">
      <x:c r="H104" s="17"/>
      <x:c r="I104" s="17"/>
      <x:c r="J104" s="17"/>
      <x:c r="K104" s="21"/>
      <x:c r="M104" s="17"/>
      <x:c r="N104" s="17"/>
      <x:c r="O104" s="25"/>
      <x:c r="P104" s="25"/>
      <x:c r="T104" s="29"/>
    </x:row>
    <x:row r="105">
      <x:c r="H105" s="17"/>
      <x:c r="I105" s="17"/>
      <x:c r="J105" s="17"/>
      <x:c r="K105" s="21"/>
      <x:c r="M105" s="17"/>
      <x:c r="N105" s="17"/>
      <x:c r="O105" s="25"/>
      <x:c r="P105" s="25"/>
      <x:c r="T105" s="29"/>
    </x:row>
    <x:row r="106">
      <x:c r="H106" s="17"/>
      <x:c r="I106" s="17"/>
      <x:c r="J106" s="17"/>
      <x:c r="K106" s="21"/>
      <x:c r="M106" s="17"/>
      <x:c r="N106" s="17"/>
      <x:c r="O106" s="25"/>
      <x:c r="P106" s="25"/>
      <x:c r="T106" s="29"/>
    </x:row>
    <x:row r="107">
      <x:c r="H107" s="17"/>
      <x:c r="I107" s="17"/>
      <x:c r="J107" s="17"/>
      <x:c r="K107" s="21"/>
      <x:c r="M107" s="17"/>
      <x:c r="N107" s="17"/>
      <x:c r="O107" s="25"/>
      <x:c r="P107" s="25"/>
      <x:c r="T107" s="29"/>
    </x:row>
    <x:row r="108">
      <x:c r="H108" s="17"/>
      <x:c r="I108" s="17"/>
      <x:c r="J108" s="17"/>
      <x:c r="K108" s="21"/>
      <x:c r="M108" s="17"/>
      <x:c r="N108" s="17"/>
      <x:c r="O108" s="25"/>
      <x:c r="P108" s="25"/>
      <x:c r="T108" s="29"/>
    </x:row>
    <x:row r="109">
      <x:c r="H109" s="17"/>
      <x:c r="I109" s="17"/>
      <x:c r="J109" s="17"/>
      <x:c r="K109" s="21"/>
      <x:c r="M109" s="17"/>
      <x:c r="N109" s="17"/>
      <x:c r="O109" s="25"/>
      <x:c r="P109" s="25"/>
      <x:c r="T109" s="29"/>
    </x:row>
    <x:row r="110">
      <x:c r="H110" s="17"/>
      <x:c r="I110" s="17"/>
      <x:c r="J110" s="17"/>
      <x:c r="K110" s="21"/>
      <x:c r="M110" s="17"/>
      <x:c r="N110" s="17"/>
      <x:c r="O110" s="25"/>
      <x:c r="P110" s="25"/>
      <x:c r="T110" s="29"/>
    </x:row>
    <x:row r="111">
      <x:c r="H111" s="17"/>
      <x:c r="I111" s="17"/>
      <x:c r="J111" s="17"/>
      <x:c r="K111" s="21"/>
      <x:c r="M111" s="17"/>
      <x:c r="N111" s="17"/>
      <x:c r="O111" s="25"/>
      <x:c r="P111" s="25"/>
      <x:c r="T111" s="29"/>
    </x:row>
    <x:row r="112">
      <x:c r="H112" s="17"/>
      <x:c r="I112" s="17"/>
      <x:c r="J112" s="17"/>
      <x:c r="K112" s="21"/>
      <x:c r="M112" s="17"/>
      <x:c r="N112" s="17"/>
      <x:c r="O112" s="25"/>
      <x:c r="P112" s="25"/>
      <x:c r="T112" s="29"/>
    </x:row>
    <x:row r="113">
      <x:c r="H113" s="17"/>
      <x:c r="I113" s="17"/>
      <x:c r="J113" s="17"/>
      <x:c r="K113" s="21"/>
      <x:c r="M113" s="17"/>
      <x:c r="N113" s="17"/>
      <x:c r="O113" s="25"/>
      <x:c r="P113" s="25"/>
      <x:c r="T113" s="29"/>
    </x:row>
    <x:row r="114">
      <x:c r="H114" s="17"/>
      <x:c r="I114" s="17"/>
      <x:c r="J114" s="17"/>
      <x:c r="K114" s="21"/>
      <x:c r="M114" s="17"/>
      <x:c r="N114" s="17"/>
      <x:c r="O114" s="25"/>
      <x:c r="P114" s="25"/>
      <x:c r="T114" s="29"/>
    </x:row>
    <x:row r="115">
      <x:c r="H115" s="17"/>
      <x:c r="I115" s="17"/>
      <x:c r="J115" s="17"/>
      <x:c r="K115" s="21"/>
      <x:c r="M115" s="17"/>
      <x:c r="N115" s="17"/>
      <x:c r="O115" s="25"/>
      <x:c r="P115" s="25"/>
      <x:c r="T115" s="29"/>
    </x:row>
    <x:row r="116">
      <x:c r="H116" s="17"/>
      <x:c r="I116" s="17"/>
      <x:c r="J116" s="17"/>
      <x:c r="K116" s="21"/>
      <x:c r="M116" s="17"/>
      <x:c r="N116" s="17"/>
      <x:c r="O116" s="25"/>
      <x:c r="P116" s="25"/>
      <x:c r="T116" s="29"/>
    </x:row>
    <x:row r="117">
      <x:c r="H117" s="17"/>
      <x:c r="I117" s="17"/>
      <x:c r="J117" s="17"/>
      <x:c r="K117" s="21"/>
      <x:c r="M117" s="17"/>
      <x:c r="N117" s="17"/>
      <x:c r="O117" s="25"/>
      <x:c r="P117" s="25"/>
      <x:c r="T117" s="29"/>
    </x:row>
    <x:row r="118">
      <x:c r="H118" s="17"/>
      <x:c r="I118" s="17"/>
      <x:c r="J118" s="17"/>
      <x:c r="K118" s="21"/>
      <x:c r="M118" s="17"/>
      <x:c r="N118" s="17"/>
      <x:c r="O118" s="25"/>
      <x:c r="P118" s="25"/>
      <x:c r="T118" s="29"/>
    </x:row>
    <x:row r="119">
      <x:c r="H119" s="17"/>
      <x:c r="I119" s="17"/>
      <x:c r="J119" s="17"/>
      <x:c r="K119" s="21"/>
      <x:c r="M119" s="17"/>
      <x:c r="N119" s="17"/>
      <x:c r="O119" s="25"/>
      <x:c r="P119" s="25"/>
      <x:c r="T119" s="29"/>
    </x:row>
    <x:row r="120">
      <x:c r="H120" s="17"/>
      <x:c r="I120" s="17"/>
      <x:c r="J120" s="17"/>
      <x:c r="K120" s="21"/>
      <x:c r="M120" s="17"/>
      <x:c r="N120" s="17"/>
      <x:c r="O120" s="25"/>
      <x:c r="P120" s="25"/>
      <x:c r="T120" s="29"/>
    </x:row>
    <x:row r="121">
      <x:c r="H121" s="17"/>
      <x:c r="I121" s="17"/>
      <x:c r="J121" s="17"/>
      <x:c r="K121" s="21"/>
      <x:c r="M121" s="17"/>
      <x:c r="N121" s="17"/>
      <x:c r="O121" s="25"/>
      <x:c r="P121" s="25"/>
      <x:c r="T121" s="29"/>
    </x:row>
    <x:row r="122">
      <x:c r="H122" s="17"/>
      <x:c r="I122" s="17"/>
      <x:c r="J122" s="17"/>
      <x:c r="K122" s="21"/>
      <x:c r="M122" s="17"/>
      <x:c r="N122" s="17"/>
      <x:c r="O122" s="25"/>
      <x:c r="P122" s="25"/>
      <x:c r="T122" s="29"/>
    </x:row>
    <x:row r="123">
      <x:c r="H123" s="17"/>
      <x:c r="I123" s="17"/>
      <x:c r="J123" s="17"/>
      <x:c r="K123" s="21"/>
      <x:c r="M123" s="17"/>
      <x:c r="N123" s="17"/>
      <x:c r="O123" s="25"/>
      <x:c r="P123" s="25"/>
      <x:c r="T123" s="29"/>
    </x:row>
    <x:row r="124">
      <x:c r="H124" s="17"/>
      <x:c r="I124" s="17"/>
      <x:c r="J124" s="17"/>
      <x:c r="K124" s="21"/>
      <x:c r="M124" s="17"/>
      <x:c r="N124" s="17"/>
      <x:c r="O124" s="25"/>
      <x:c r="P124" s="25"/>
      <x:c r="T124" s="29"/>
    </x:row>
    <x:row r="125">
      <x:c r="H125" s="17"/>
      <x:c r="I125" s="17"/>
      <x:c r="J125" s="17"/>
      <x:c r="K125" s="21"/>
      <x:c r="M125" s="17"/>
      <x:c r="N125" s="17"/>
      <x:c r="O125" s="25"/>
      <x:c r="P125" s="25"/>
      <x:c r="T125" s="29"/>
    </x:row>
    <x:row r="126">
      <x:c r="H126" s="17"/>
      <x:c r="I126" s="17"/>
      <x:c r="J126" s="17"/>
      <x:c r="K126" s="21"/>
      <x:c r="M126" s="17"/>
      <x:c r="N126" s="17"/>
      <x:c r="O126" s="25"/>
      <x:c r="P126" s="25"/>
      <x:c r="T126" s="29"/>
    </x:row>
    <x:row r="127">
      <x:c r="H127" s="17"/>
      <x:c r="I127" s="17"/>
      <x:c r="J127" s="17"/>
      <x:c r="K127" s="21"/>
      <x:c r="M127" s="17"/>
      <x:c r="N127" s="17"/>
      <x:c r="O127" s="25"/>
      <x:c r="P127" s="25"/>
      <x:c r="T127" s="29"/>
    </x:row>
    <x:row r="128">
      <x:c r="H128" s="17"/>
      <x:c r="I128" s="17"/>
      <x:c r="J128" s="17"/>
      <x:c r="K128" s="21"/>
      <x:c r="M128" s="17"/>
      <x:c r="N128" s="17"/>
      <x:c r="O128" s="25"/>
      <x:c r="P128" s="25"/>
      <x:c r="T128" s="29"/>
    </x:row>
    <x:row r="129">
      <x:c r="H129" s="17"/>
      <x:c r="I129" s="17"/>
      <x:c r="J129" s="17"/>
      <x:c r="K129" s="21"/>
      <x:c r="M129" s="17"/>
      <x:c r="N129" s="17"/>
      <x:c r="O129" s="25"/>
      <x:c r="P129" s="25"/>
      <x:c r="T129" s="29"/>
    </x:row>
    <x:row r="130">
      <x:c r="H130" s="17"/>
      <x:c r="I130" s="17"/>
      <x:c r="J130" s="17"/>
      <x:c r="K130" s="21"/>
      <x:c r="M130" s="17"/>
      <x:c r="N130" s="17"/>
      <x:c r="O130" s="25"/>
      <x:c r="P130" s="25"/>
      <x:c r="T130" s="29"/>
    </x:row>
    <x:row r="131">
      <x:c r="H131" s="17"/>
      <x:c r="I131" s="17"/>
      <x:c r="J131" s="17"/>
      <x:c r="K131" s="21"/>
      <x:c r="M131" s="17"/>
      <x:c r="N131" s="17"/>
      <x:c r="O131" s="25"/>
      <x:c r="P131" s="25"/>
      <x:c r="T131" s="29"/>
    </x:row>
    <x:row r="132">
      <x:c r="H132" s="17"/>
      <x:c r="I132" s="17"/>
      <x:c r="J132" s="17"/>
      <x:c r="K132" s="21"/>
      <x:c r="M132" s="17"/>
      <x:c r="N132" s="17"/>
      <x:c r="O132" s="25"/>
      <x:c r="P132" s="25"/>
      <x:c r="T132" s="29"/>
    </x:row>
    <x:row r="133">
      <x:c r="H133" s="17"/>
      <x:c r="I133" s="17"/>
      <x:c r="J133" s="17"/>
      <x:c r="K133" s="21"/>
      <x:c r="M133" s="17"/>
      <x:c r="N133" s="17"/>
      <x:c r="O133" s="25"/>
      <x:c r="P133" s="25"/>
      <x:c r="T133" s="29"/>
    </x:row>
    <x:row r="134">
      <x:c r="H134" s="17"/>
      <x:c r="I134" s="17"/>
      <x:c r="J134" s="17"/>
      <x:c r="K134" s="21"/>
      <x:c r="M134" s="17"/>
      <x:c r="N134" s="17"/>
      <x:c r="O134" s="25"/>
      <x:c r="P134" s="25"/>
      <x:c r="T134" s="29"/>
    </x:row>
    <x:row r="135">
      <x:c r="H135" s="17"/>
      <x:c r="I135" s="17"/>
      <x:c r="J135" s="17"/>
      <x:c r="K135" s="21"/>
      <x:c r="M135" s="17"/>
      <x:c r="N135" s="17"/>
      <x:c r="O135" s="25"/>
      <x:c r="P135" s="25"/>
      <x:c r="T135" s="29"/>
    </x:row>
    <x:row r="136">
      <x:c r="H136" s="17"/>
      <x:c r="I136" s="17"/>
      <x:c r="J136" s="17"/>
      <x:c r="K136" s="21"/>
      <x:c r="M136" s="17"/>
      <x:c r="N136" s="17"/>
      <x:c r="O136" s="25"/>
      <x:c r="P136" s="25"/>
      <x:c r="T136" s="29"/>
    </x:row>
    <x:row r="137">
      <x:c r="H137" s="17"/>
      <x:c r="I137" s="17"/>
      <x:c r="J137" s="17"/>
      <x:c r="K137" s="21"/>
      <x:c r="M137" s="17"/>
      <x:c r="N137" s="17"/>
      <x:c r="O137" s="25"/>
      <x:c r="P137" s="25"/>
      <x:c r="T137" s="29"/>
    </x:row>
    <x:row r="138">
      <x:c r="H138" s="17"/>
      <x:c r="I138" s="17"/>
      <x:c r="J138" s="17"/>
      <x:c r="K138" s="21"/>
      <x:c r="M138" s="17"/>
      <x:c r="N138" s="17"/>
      <x:c r="O138" s="25"/>
      <x:c r="P138" s="25"/>
      <x:c r="T138" s="29"/>
    </x:row>
    <x:row r="139">
      <x:c r="H139" s="17"/>
      <x:c r="I139" s="17"/>
      <x:c r="J139" s="17"/>
      <x:c r="K139" s="21"/>
      <x:c r="M139" s="17"/>
      <x:c r="N139" s="17"/>
      <x:c r="O139" s="25"/>
      <x:c r="P139" s="25"/>
      <x:c r="T139" s="29"/>
    </x:row>
    <x:row r="140">
      <x:c r="H140" s="17"/>
      <x:c r="I140" s="17"/>
      <x:c r="J140" s="17"/>
      <x:c r="K140" s="21"/>
      <x:c r="M140" s="17"/>
      <x:c r="N140" s="17"/>
      <x:c r="O140" s="25"/>
      <x:c r="P140" s="25"/>
      <x:c r="T140" s="29"/>
    </x:row>
    <x:row r="141">
      <x:c r="H141" s="17"/>
      <x:c r="I141" s="17"/>
      <x:c r="J141" s="17"/>
      <x:c r="K141" s="21"/>
      <x:c r="M141" s="17"/>
      <x:c r="N141" s="17"/>
      <x:c r="O141" s="25"/>
      <x:c r="P141" s="25"/>
      <x:c r="T141" s="29"/>
    </x:row>
    <x:row r="142">
      <x:c r="H142" s="17"/>
      <x:c r="I142" s="17"/>
      <x:c r="J142" s="17"/>
      <x:c r="K142" s="21"/>
      <x:c r="M142" s="17"/>
      <x:c r="N142" s="17"/>
      <x:c r="O142" s="25"/>
      <x:c r="P142" s="25"/>
      <x:c r="T142" s="29"/>
    </x:row>
    <x:row r="143">
      <x:c r="H143" s="17"/>
      <x:c r="I143" s="17"/>
      <x:c r="J143" s="17"/>
      <x:c r="K143" s="21"/>
      <x:c r="M143" s="17"/>
      <x:c r="N143" s="17"/>
      <x:c r="O143" s="25"/>
      <x:c r="P143" s="25"/>
      <x:c r="T143" s="29"/>
    </x:row>
    <x:row r="144">
      <x:c r="H144" s="17"/>
      <x:c r="I144" s="17"/>
      <x:c r="J144" s="17"/>
      <x:c r="K144" s="21"/>
      <x:c r="M144" s="17"/>
      <x:c r="N144" s="17"/>
      <x:c r="O144" s="25"/>
      <x:c r="P144" s="25"/>
      <x:c r="T144" s="29"/>
    </x:row>
    <x:row r="145">
      <x:c r="H145" s="17"/>
      <x:c r="I145" s="17"/>
      <x:c r="J145" s="17"/>
      <x:c r="K145" s="21"/>
      <x:c r="M145" s="17"/>
      <x:c r="N145" s="17"/>
      <x:c r="O145" s="25"/>
      <x:c r="P145" s="25"/>
      <x:c r="T145" s="29"/>
    </x:row>
    <x:row r="146">
      <x:c r="H146" s="17"/>
      <x:c r="I146" s="17"/>
      <x:c r="J146" s="17"/>
      <x:c r="K146" s="21"/>
      <x:c r="M146" s="17"/>
      <x:c r="N146" s="17"/>
      <x:c r="O146" s="25"/>
      <x:c r="P146" s="25"/>
      <x:c r="T146" s="29"/>
    </x:row>
    <x:row r="147">
      <x:c r="H147" s="17"/>
      <x:c r="I147" s="17"/>
      <x:c r="J147" s="17"/>
      <x:c r="K147" s="21"/>
      <x:c r="M147" s="17"/>
      <x:c r="N147" s="17"/>
      <x:c r="O147" s="25"/>
      <x:c r="P147" s="25"/>
      <x:c r="T147" s="29"/>
    </x:row>
    <x:row r="148">
      <x:c r="H148" s="17"/>
      <x:c r="I148" s="17"/>
      <x:c r="J148" s="17"/>
      <x:c r="K148" s="21"/>
      <x:c r="M148" s="17"/>
      <x:c r="N148" s="17"/>
      <x:c r="O148" s="25"/>
      <x:c r="P148" s="25"/>
      <x:c r="T148" s="29"/>
    </x:row>
    <x:row r="149">
      <x:c r="H149" s="17"/>
      <x:c r="I149" s="17"/>
      <x:c r="J149" s="17"/>
      <x:c r="K149" s="21"/>
      <x:c r="M149" s="17"/>
      <x:c r="N149" s="17"/>
      <x:c r="O149" s="25"/>
      <x:c r="P149" s="25"/>
      <x:c r="T149" s="29"/>
    </x:row>
    <x:row r="150">
      <x:c r="H150" s="17"/>
      <x:c r="I150" s="17"/>
      <x:c r="J150" s="17"/>
      <x:c r="K150" s="21"/>
      <x:c r="M150" s="17"/>
      <x:c r="N150" s="17"/>
      <x:c r="O150" s="25"/>
      <x:c r="P150" s="25"/>
      <x:c r="T150" s="29"/>
    </x:row>
    <x:row r="151">
      <x:c r="H151" s="17"/>
      <x:c r="I151" s="17"/>
      <x:c r="J151" s="17"/>
      <x:c r="K151" s="21"/>
      <x:c r="M151" s="17"/>
      <x:c r="N151" s="17"/>
      <x:c r="O151" s="25"/>
      <x:c r="P151" s="25"/>
      <x:c r="T151" s="29"/>
    </x:row>
    <x:row r="152">
      <x:c r="H152" s="17"/>
      <x:c r="I152" s="17"/>
      <x:c r="J152" s="17"/>
      <x:c r="K152" s="21"/>
      <x:c r="M152" s="17"/>
      <x:c r="N152" s="17"/>
      <x:c r="O152" s="25"/>
      <x:c r="P152" s="25"/>
      <x:c r="T152" s="29"/>
    </x:row>
    <x:row r="153">
      <x:c r="H153" s="17"/>
      <x:c r="I153" s="17"/>
      <x:c r="J153" s="17"/>
      <x:c r="K153" s="21"/>
      <x:c r="M153" s="17"/>
      <x:c r="N153" s="17"/>
      <x:c r="O153" s="25"/>
      <x:c r="P153" s="25"/>
      <x:c r="T153" s="29"/>
    </x:row>
    <x:row r="154">
      <x:c r="H154" s="17"/>
      <x:c r="I154" s="17"/>
      <x:c r="J154" s="17"/>
      <x:c r="K154" s="21"/>
      <x:c r="M154" s="17"/>
      <x:c r="N154" s="17"/>
      <x:c r="O154" s="25"/>
      <x:c r="P154" s="25"/>
      <x:c r="T154" s="29"/>
    </x:row>
    <x:row r="155">
      <x:c r="H155" s="17"/>
      <x:c r="I155" s="17"/>
      <x:c r="J155" s="17"/>
      <x:c r="K155" s="21"/>
      <x:c r="M155" s="17"/>
      <x:c r="N155" s="17"/>
      <x:c r="O155" s="25"/>
      <x:c r="P155" s="25"/>
      <x:c r="T155" s="29"/>
    </x:row>
    <x:row r="156">
      <x:c r="H156" s="17"/>
      <x:c r="I156" s="17"/>
      <x:c r="J156" s="17"/>
      <x:c r="K156" s="21"/>
      <x:c r="M156" s="17"/>
      <x:c r="N156" s="17"/>
      <x:c r="O156" s="25"/>
      <x:c r="P156" s="25"/>
      <x:c r="T156" s="29"/>
    </x:row>
    <x:row r="157">
      <x:c r="H157" s="17"/>
      <x:c r="I157" s="17"/>
      <x:c r="J157" s="17"/>
      <x:c r="K157" s="21"/>
      <x:c r="M157" s="17"/>
      <x:c r="N157" s="17"/>
      <x:c r="O157" s="25"/>
      <x:c r="P157" s="25"/>
      <x:c r="T157" s="29"/>
    </x:row>
    <x:row r="158">
      <x:c r="H158" s="17"/>
      <x:c r="I158" s="17"/>
      <x:c r="J158" s="17"/>
      <x:c r="K158" s="21"/>
      <x:c r="M158" s="17"/>
      <x:c r="N158" s="17"/>
      <x:c r="O158" s="25"/>
      <x:c r="P158" s="25"/>
      <x:c r="T158" s="29"/>
    </x:row>
    <x:row r="159">
      <x:c r="H159" s="17"/>
      <x:c r="I159" s="17"/>
      <x:c r="J159" s="17"/>
      <x:c r="K159" s="21"/>
      <x:c r="M159" s="17"/>
      <x:c r="N159" s="17"/>
      <x:c r="O159" s="25"/>
      <x:c r="P159" s="25"/>
      <x:c r="T159" s="29"/>
    </x:row>
    <x:row r="160">
      <x:c r="H160" s="17"/>
      <x:c r="I160" s="17"/>
      <x:c r="J160" s="17"/>
      <x:c r="K160" s="21"/>
      <x:c r="M160" s="17"/>
      <x:c r="N160" s="17"/>
      <x:c r="O160" s="25"/>
      <x:c r="P160" s="25"/>
      <x:c r="T160" s="29"/>
    </x:row>
    <x:row r="161">
      <x:c r="H161" s="17"/>
      <x:c r="I161" s="17"/>
      <x:c r="J161" s="17"/>
      <x:c r="K161" s="21"/>
      <x:c r="M161" s="17"/>
      <x:c r="N161" s="17"/>
      <x:c r="O161" s="25"/>
      <x:c r="P161" s="25"/>
      <x:c r="T161" s="29"/>
    </x:row>
    <x:row r="162">
      <x:c r="H162" s="17"/>
      <x:c r="I162" s="17"/>
      <x:c r="J162" s="17"/>
      <x:c r="K162" s="21"/>
      <x:c r="M162" s="17"/>
      <x:c r="N162" s="17"/>
      <x:c r="O162" s="25"/>
      <x:c r="P162" s="25"/>
      <x:c r="T162" s="29"/>
    </x:row>
    <x:row r="163">
      <x:c r="H163" s="17"/>
      <x:c r="I163" s="17"/>
      <x:c r="J163" s="17"/>
      <x:c r="K163" s="21"/>
      <x:c r="M163" s="17"/>
      <x:c r="N163" s="17"/>
      <x:c r="O163" s="25"/>
      <x:c r="P163" s="25"/>
      <x:c r="T163" s="29"/>
    </x:row>
    <x:row r="164">
      <x:c r="H164" s="17"/>
      <x:c r="I164" s="17"/>
      <x:c r="J164" s="17"/>
      <x:c r="K164" s="21"/>
      <x:c r="M164" s="17"/>
      <x:c r="N164" s="17"/>
      <x:c r="O164" s="25"/>
      <x:c r="P164" s="25"/>
      <x:c r="T164" s="29"/>
    </x:row>
    <x:row r="165">
      <x:c r="H165" s="17"/>
      <x:c r="I165" s="17"/>
      <x:c r="J165" s="17"/>
      <x:c r="K165" s="21"/>
      <x:c r="M165" s="17"/>
      <x:c r="N165" s="17"/>
      <x:c r="O165" s="25"/>
      <x:c r="P165" s="25"/>
      <x:c r="T165" s="29"/>
    </x:row>
    <x:row r="166">
      <x:c r="H166" s="17"/>
      <x:c r="I166" s="17"/>
      <x:c r="J166" s="17"/>
      <x:c r="K166" s="21"/>
      <x:c r="M166" s="17"/>
      <x:c r="N166" s="17"/>
      <x:c r="O166" s="25"/>
      <x:c r="P166" s="25"/>
      <x:c r="T166" s="29"/>
    </x:row>
    <x:row r="167">
      <x:c r="H167" s="17"/>
      <x:c r="I167" s="17"/>
      <x:c r="J167" s="17"/>
      <x:c r="K167" s="21"/>
      <x:c r="M167" s="17"/>
      <x:c r="N167" s="17"/>
      <x:c r="O167" s="25"/>
      <x:c r="P167" s="25"/>
      <x:c r="T167" s="29"/>
    </x:row>
    <x:row r="168">
      <x:c r="H168" s="17"/>
      <x:c r="I168" s="17"/>
      <x:c r="J168" s="17"/>
      <x:c r="K168" s="21"/>
      <x:c r="M168" s="17"/>
      <x:c r="N168" s="17"/>
      <x:c r="O168" s="25"/>
      <x:c r="P168" s="25"/>
      <x:c r="T168" s="29"/>
    </x:row>
    <x:row r="169">
      <x:c r="H169" s="17"/>
      <x:c r="I169" s="17"/>
      <x:c r="J169" s="17"/>
      <x:c r="K169" s="21"/>
      <x:c r="M169" s="17"/>
      <x:c r="N169" s="17"/>
      <x:c r="O169" s="25"/>
      <x:c r="P169" s="25"/>
      <x:c r="T169" s="29"/>
    </x:row>
    <x:row r="170">
      <x:c r="H170" s="17"/>
      <x:c r="I170" s="17"/>
      <x:c r="J170" s="17"/>
      <x:c r="K170" s="21"/>
      <x:c r="M170" s="17"/>
      <x:c r="N170" s="17"/>
      <x:c r="O170" s="25"/>
      <x:c r="P170" s="25"/>
      <x:c r="T170" s="29"/>
    </x:row>
    <x:row r="171">
      <x:c r="H171" s="17"/>
      <x:c r="I171" s="17"/>
      <x:c r="J171" s="17"/>
      <x:c r="K171" s="21"/>
      <x:c r="M171" s="17"/>
      <x:c r="N171" s="17"/>
      <x:c r="O171" s="25"/>
      <x:c r="P171" s="25"/>
      <x:c r="T171" s="29"/>
    </x:row>
    <x:row r="172">
      <x:c r="H172" s="17"/>
      <x:c r="I172" s="17"/>
      <x:c r="J172" s="17"/>
      <x:c r="K172" s="21"/>
      <x:c r="M172" s="17"/>
      <x:c r="N172" s="17"/>
      <x:c r="O172" s="25"/>
      <x:c r="P172" s="25"/>
      <x:c r="T172" s="29"/>
    </x:row>
    <x:row r="173">
      <x:c r="H173" s="17"/>
      <x:c r="I173" s="17"/>
      <x:c r="J173" s="17"/>
      <x:c r="K173" s="21"/>
      <x:c r="M173" s="17"/>
      <x:c r="N173" s="17"/>
      <x:c r="O173" s="25"/>
      <x:c r="P173" s="25"/>
      <x:c r="T173" s="29"/>
    </x:row>
    <x:row r="174">
      <x:c r="H174" s="17"/>
      <x:c r="I174" s="17"/>
      <x:c r="J174" s="17"/>
      <x:c r="K174" s="21"/>
      <x:c r="M174" s="17"/>
      <x:c r="N174" s="17"/>
      <x:c r="O174" s="25"/>
      <x:c r="P174" s="25"/>
      <x:c r="T174" s="29"/>
    </x:row>
    <x:row r="175">
      <x:c r="H175" s="17"/>
      <x:c r="I175" s="17"/>
      <x:c r="J175" s="17"/>
      <x:c r="K175" s="21"/>
      <x:c r="M175" s="17"/>
      <x:c r="N175" s="17"/>
      <x:c r="O175" s="25"/>
      <x:c r="P175" s="25"/>
      <x:c r="T175" s="29"/>
    </x:row>
    <x:row r="176">
      <x:c r="H176" s="17"/>
      <x:c r="I176" s="17"/>
      <x:c r="J176" s="17"/>
      <x:c r="K176" s="21"/>
      <x:c r="M176" s="17"/>
      <x:c r="N176" s="17"/>
      <x:c r="O176" s="25"/>
      <x:c r="P176" s="25"/>
      <x:c r="T176" s="29"/>
    </x:row>
    <x:row r="177">
      <x:c r="H177" s="17"/>
      <x:c r="I177" s="17"/>
      <x:c r="J177" s="17"/>
      <x:c r="K177" s="21"/>
      <x:c r="M177" s="17"/>
      <x:c r="N177" s="17"/>
      <x:c r="O177" s="25"/>
      <x:c r="P177" s="25"/>
      <x:c r="T177" s="29"/>
    </x:row>
    <x:row r="178">
      <x:c r="H178" s="17"/>
      <x:c r="I178" s="17"/>
      <x:c r="J178" s="17"/>
      <x:c r="K178" s="21"/>
      <x:c r="M178" s="17"/>
      <x:c r="N178" s="17"/>
      <x:c r="O178" s="25"/>
      <x:c r="P178" s="25"/>
      <x:c r="T178" s="29"/>
    </x:row>
    <x:row r="179">
      <x:c r="H179" s="17"/>
      <x:c r="I179" s="17"/>
      <x:c r="J179" s="17"/>
      <x:c r="K179" s="21"/>
      <x:c r="M179" s="17"/>
      <x:c r="N179" s="17"/>
      <x:c r="O179" s="25"/>
      <x:c r="P179" s="25"/>
      <x:c r="T179" s="29"/>
    </x:row>
    <x:row r="180">
      <x:c r="H180" s="17"/>
      <x:c r="I180" s="17"/>
      <x:c r="J180" s="17"/>
      <x:c r="K180" s="21"/>
      <x:c r="M180" s="17"/>
      <x:c r="N180" s="17"/>
      <x:c r="O180" s="25"/>
      <x:c r="P180" s="25"/>
      <x:c r="T180" s="29"/>
    </x:row>
    <x:row r="181">
      <x:c r="H181" s="17"/>
      <x:c r="I181" s="17"/>
      <x:c r="J181" s="17"/>
      <x:c r="K181" s="21"/>
      <x:c r="M181" s="17"/>
      <x:c r="N181" s="17"/>
      <x:c r="O181" s="25"/>
      <x:c r="P181" s="25"/>
      <x:c r="T181" s="29"/>
    </x:row>
    <x:row r="182">
      <x:c r="H182" s="17"/>
      <x:c r="I182" s="17"/>
      <x:c r="J182" s="17"/>
      <x:c r="K182" s="21"/>
      <x:c r="M182" s="17"/>
      <x:c r="N182" s="17"/>
      <x:c r="O182" s="25"/>
      <x:c r="P182" s="25"/>
      <x:c r="T182" s="29"/>
    </x:row>
    <x:row r="183">
      <x:c r="H183" s="17"/>
      <x:c r="I183" s="17"/>
      <x:c r="J183" s="17"/>
      <x:c r="K183" s="21"/>
      <x:c r="M183" s="17"/>
      <x:c r="N183" s="17"/>
      <x:c r="O183" s="25"/>
      <x:c r="P183" s="25"/>
      <x:c r="T183" s="29"/>
    </x:row>
    <x:row r="184">
      <x:c r="H184" s="17"/>
      <x:c r="I184" s="17"/>
      <x:c r="J184" s="17"/>
      <x:c r="K184" s="21"/>
      <x:c r="M184" s="17"/>
      <x:c r="N184" s="17"/>
      <x:c r="O184" s="25"/>
      <x:c r="P184" s="25"/>
      <x:c r="T184" s="29"/>
    </x:row>
    <x:row r="185">
      <x:c r="H185" s="17"/>
      <x:c r="I185" s="17"/>
      <x:c r="J185" s="17"/>
      <x:c r="K185" s="21"/>
      <x:c r="M185" s="17"/>
      <x:c r="N185" s="17"/>
      <x:c r="O185" s="25"/>
      <x:c r="P185" s="25"/>
      <x:c r="T185" s="29"/>
    </x:row>
    <x:row r="186">
      <x:c r="H186" s="17"/>
      <x:c r="I186" s="17"/>
      <x:c r="J186" s="17"/>
      <x:c r="K186" s="21"/>
      <x:c r="M186" s="17"/>
      <x:c r="N186" s="17"/>
      <x:c r="O186" s="25"/>
      <x:c r="P186" s="25"/>
      <x:c r="T186" s="29"/>
    </x:row>
    <x:row r="187">
      <x:c r="H187" s="17"/>
      <x:c r="I187" s="17"/>
      <x:c r="J187" s="17"/>
      <x:c r="K187" s="21"/>
      <x:c r="M187" s="17"/>
      <x:c r="N187" s="17"/>
      <x:c r="O187" s="25"/>
      <x:c r="P187" s="25"/>
      <x:c r="T187" s="29"/>
    </x:row>
    <x:row r="188">
      <x:c r="H188" s="17"/>
      <x:c r="I188" s="17"/>
      <x:c r="J188" s="17"/>
      <x:c r="K188" s="21"/>
      <x:c r="M188" s="17"/>
      <x:c r="N188" s="17"/>
      <x:c r="O188" s="25"/>
      <x:c r="P188" s="25"/>
      <x:c r="T188" s="29"/>
    </x:row>
    <x:row r="189">
      <x:c r="H189" s="17"/>
      <x:c r="I189" s="17"/>
      <x:c r="J189" s="17"/>
      <x:c r="K189" s="21"/>
      <x:c r="M189" s="17"/>
      <x:c r="N189" s="17"/>
      <x:c r="O189" s="25"/>
      <x:c r="P189" s="25"/>
      <x:c r="T189" s="29"/>
    </x:row>
    <x:row r="190">
      <x:c r="H190" s="17"/>
      <x:c r="I190" s="17"/>
      <x:c r="J190" s="17"/>
      <x:c r="K190" s="21"/>
      <x:c r="M190" s="17"/>
      <x:c r="N190" s="17"/>
      <x:c r="O190" s="25"/>
      <x:c r="P190" s="25"/>
      <x:c r="T190" s="29"/>
    </x:row>
    <x:row r="191">
      <x:c r="H191" s="17"/>
      <x:c r="I191" s="17"/>
      <x:c r="J191" s="17"/>
      <x:c r="K191" s="21"/>
      <x:c r="M191" s="17"/>
      <x:c r="N191" s="17"/>
      <x:c r="O191" s="25"/>
      <x:c r="P191" s="25"/>
      <x:c r="T191" s="29"/>
    </x:row>
    <x:row r="192">
      <x:c r="H192" s="17"/>
      <x:c r="I192" s="17"/>
      <x:c r="J192" s="17"/>
      <x:c r="K192" s="21"/>
      <x:c r="M192" s="17"/>
      <x:c r="N192" s="17"/>
      <x:c r="O192" s="25"/>
      <x:c r="P192" s="25"/>
      <x:c r="T192" s="29"/>
    </x:row>
    <x:row r="193">
      <x:c r="H193" s="17"/>
      <x:c r="I193" s="17"/>
      <x:c r="J193" s="17"/>
      <x:c r="K193" s="21"/>
      <x:c r="M193" s="17"/>
      <x:c r="N193" s="17"/>
      <x:c r="O193" s="25"/>
      <x:c r="P193" s="25"/>
      <x:c r="T193" s="29"/>
    </x:row>
    <x:row r="194">
      <x:c r="H194" s="17"/>
      <x:c r="I194" s="17"/>
      <x:c r="J194" s="17"/>
      <x:c r="K194" s="21"/>
      <x:c r="M194" s="17"/>
      <x:c r="N194" s="17"/>
      <x:c r="O194" s="25"/>
      <x:c r="P194" s="25"/>
      <x:c r="T194" s="29"/>
    </x:row>
    <x:row r="195">
      <x:c r="H195" s="17"/>
      <x:c r="I195" s="17"/>
      <x:c r="J195" s="17"/>
      <x:c r="K195" s="21"/>
      <x:c r="M195" s="17"/>
      <x:c r="N195" s="17"/>
      <x:c r="O195" s="25"/>
      <x:c r="P195" s="25"/>
      <x:c r="T195" s="29"/>
    </x:row>
    <x:row r="196">
      <x:c r="H196" s="17"/>
      <x:c r="I196" s="17"/>
      <x:c r="J196" s="17"/>
      <x:c r="K196" s="21"/>
      <x:c r="M196" s="17"/>
      <x:c r="N196" s="17"/>
      <x:c r="O196" s="25"/>
      <x:c r="P196" s="25"/>
      <x:c r="T196" s="29"/>
    </x:row>
    <x:row r="197">
      <x:c r="H197" s="17"/>
      <x:c r="I197" s="17"/>
      <x:c r="J197" s="17"/>
      <x:c r="K197" s="21"/>
      <x:c r="M197" s="17"/>
      <x:c r="N197" s="17"/>
      <x:c r="O197" s="25"/>
      <x:c r="P197" s="25"/>
      <x:c r="T197" s="29"/>
    </x:row>
    <x:row r="198">
      <x:c r="H198" s="17"/>
      <x:c r="I198" s="17"/>
      <x:c r="J198" s="17"/>
      <x:c r="K198" s="21"/>
      <x:c r="M198" s="17"/>
      <x:c r="N198" s="17"/>
      <x:c r="O198" s="25"/>
      <x:c r="P198" s="25"/>
      <x:c r="T198" s="29"/>
    </x:row>
    <x:row r="199">
      <x:c r="H199" s="17"/>
      <x:c r="I199" s="17"/>
      <x:c r="J199" s="17"/>
      <x:c r="K199" s="21"/>
      <x:c r="M199" s="17"/>
      <x:c r="N199" s="17"/>
      <x:c r="O199" s="25"/>
      <x:c r="P199" s="25"/>
      <x:c r="T199" s="29"/>
    </x:row>
    <x:row r="200">
      <x:c r="H200" s="17"/>
      <x:c r="I200" s="17"/>
      <x:c r="J200" s="17"/>
      <x:c r="K200" s="21"/>
      <x:c r="M200" s="17"/>
      <x:c r="N200" s="17"/>
      <x:c r="O200" s="25"/>
      <x:c r="P200" s="25"/>
      <x:c r="T200" s="29"/>
    </x:row>
  </x:sheetData>
  <x:conditionalFormatting sqref="O2:P200">
    <x:cfRule type="colorScale" priority="1">
      <x:colorScale>
        <x:cfvo type="min"/>
        <x:cfvo type="percentile" val="50"/>
        <x:cfvo type="max"/>
        <x:color rgb="FFFEE2E2"/>
        <x:color rgb="FFFEF3C7"/>
        <x:color rgb="FFDCFCE7"/>
      </x:colorScale>
    </x:cfRule>
  </x:conditionalFormatting>
  <x:dataValidations count="1">
    <x:dataValidation type="list" sqref="S2:S200">
      <x:formula1>"Draft,Active,Review,Inactive"</x:formula1>
    </x:dataValidation>
  </x:dataValidations>
  <x:pageMargins left="0.7" right="0.7" top="0.75" bottom="0.75" header="0.3" footer="0.3"/>
  <x:tableParts count="1">
    <x:tablePart xmlns:r="http://schemas.openxmlformats.org/officeDocument/2006/relationships" r:id="Rc815a50c0db64da9"/>
  </x:tableParts>
</x:worksheet>
</file>

<file path=xl/worksheets/sheet8.xml><?xml version="1.0" encoding="utf-8"?>
<x:worksheet xmlns:x="http://schemas.openxmlformats.org/spreadsheetml/2006/main">
  <x:sheetFormatPr defaultRowHeight="15"/>
  <x:cols>
    <x:col min="1" max="1" width="16" hidden="0" customWidth="1"/>
    <x:col min="2" max="2" width="22" hidden="0" customWidth="1"/>
    <x:col min="3" max="3" width="24" hidden="0" customWidth="1"/>
    <x:col min="4" max="4" width="24" hidden="0" customWidth="1"/>
    <x:col min="5" max="5" width="12" hidden="0" customWidth="1"/>
    <x:col min="6" max="6" width="10" hidden="0" customWidth="1"/>
    <x:col min="7" max="7" width="24" hidden="0" customWidth="1"/>
    <x:col min="8" max="8" width="40" hidden="0" customWidth="1"/>
  </x:cols>
  <x:sheetData>
    <x:row r="1">
      <x:c r="A1" s="72" t="str">
        <x:v>Field Group</x:v>
      </x:c>
      <x:c r="B1" s="72" t="str">
        <x:v>CRM/API Field</x:v>
      </x:c>
      <x:c r="C1" s="72" t="str">
        <x:v>Excel Source Sheet</x:v>
      </x:c>
      <x:c r="D1" s="72" t="str">
        <x:v>Excel Field</x:v>
      </x:c>
      <x:c r="E1" s="72" t="str">
        <x:v>Data Type</x:v>
      </x:c>
      <x:c r="F1" s="72" t="str">
        <x:v>Required</x:v>
      </x:c>
      <x:c r="G1" s="72" t="str">
        <x:v>Example</x:v>
      </x:c>
      <x:c r="H1" s="72" t="str">
        <x:v>Mapping Note</x:v>
      </x:c>
      <x:c r="I1" s="13"/>
      <x:c r="J1" s="13"/>
      <x:c r="K1" s="13"/>
      <x:c r="L1" s="13"/>
      <x:c r="M1" s="13"/>
      <x:c r="N1" s="13"/>
      <x:c r="O1" s="13"/>
      <x:c r="P1" s="13"/>
      <x:c r="Q1" s="13"/>
      <x:c r="R1" s="13"/>
      <x:c r="S1" s="13"/>
      <x:c r="T1" s="13"/>
      <x:c r="U1" s="13"/>
      <x:c r="V1" s="13"/>
      <x:c r="W1" s="13"/>
      <x:c r="X1" s="13"/>
      <x:c r="Y1" s="13"/>
      <x:c r="Z1" s="13"/>
    </x:row>
    <x:row r="2">
      <x:c r="A2" s="13" t="str">
        <x:v>Product</x:v>
      </x:c>
      <x:c r="B2" s="13" t="str">
        <x:v>product_code</x:v>
      </x:c>
      <x:c r="C2" s="13" t="str">
        <x:v>01_Study_Visa_Master</x:v>
      </x:c>
      <x:c r="D2" s="13" t="str">
        <x:v>Visa Code Chuẩn</x:v>
      </x:c>
      <x:c r="E2" s="13" t="str">
        <x:v>Text</x:v>
      </x:c>
      <x:c r="F2" s="13" t="str">
        <x:v>Yes</x:v>
      </x:c>
      <x:c r="G2" s="13" t="str">
        <x:v>KR-STUDY-LANG-D41</x:v>
      </x:c>
      <x:c r="H2" s="13" t="str">
        <x:v>Primary key</x:v>
      </x:c>
    </x:row>
    <x:row r="3">
      <x:c r="A3" s="13" t="str">
        <x:v>Product</x:v>
      </x:c>
      <x:c r="B3" s="13" t="str">
        <x:v>internal_code</x:v>
      </x:c>
      <x:c r="C3" s="13" t="str">
        <x:v>01_Study_Visa_Master</x:v>
      </x:c>
      <x:c r="D3" s="13" t="str">
        <x:v>Mã ngắn nội bộ</x:v>
      </x:c>
      <x:c r="E3" s="13" t="str">
        <x:v>Text</x:v>
      </x:c>
      <x:c r="F3" s="13" t="str">
        <x:v>Yes</x:v>
      </x:c>
      <x:c r="G3" s="13" t="str">
        <x:v>VIS-KR-ST01</x:v>
      </x:c>
      <x:c r="H3" s="13" t="str">
        <x:v>Sales/Accounting code</x:v>
      </x:c>
    </x:row>
    <x:row r="4">
      <x:c r="A4" s="13" t="str">
        <x:v>Product</x:v>
      </x:c>
      <x:c r="B4" s="13" t="str">
        <x:v>country_code</x:v>
      </x:c>
      <x:c r="C4" s="13" t="str">
        <x:v>01_Study_Visa_Master</x:v>
      </x:c>
      <x:c r="D4" s="13" t="str">
        <x:v>Country Code</x:v>
      </x:c>
      <x:c r="E4" s="13" t="str">
        <x:v>Text</x:v>
      </x:c>
      <x:c r="F4" s="13" t="str">
        <x:v>Yes</x:v>
      </x:c>
      <x:c r="G4" s="13" t="str">
        <x:v>KR</x:v>
      </x:c>
      <x:c r="H4" s="13" t="str">
        <x:v>Filter by market</x:v>
      </x:c>
    </x:row>
    <x:row r="5">
      <x:c r="A5" s="13" t="str">
        <x:v>Product</x:v>
      </x:c>
      <x:c r="B5" s="13" t="str">
        <x:v>product_name</x:v>
      </x:c>
      <x:c r="C5" s="13" t="str">
        <x:v>01_Study_Visa_Master</x:v>
      </x:c>
      <x:c r="D5" s="13" t="str">
        <x:v>Visa/Permit Name</x:v>
      </x:c>
      <x:c r="E5" s="13" t="str">
        <x:v>Text</x:v>
      </x:c>
      <x:c r="F5" s="13" t="str">
        <x:v>Yes</x:v>
      </x:c>
      <x:c r="G5" s="13" t="str">
        <x:v>Du học tiếng Hàn</x:v>
      </x:c>
      <x:c r="H5" s="13" t="str">
        <x:v>Quote display</x:v>
      </x:c>
    </x:row>
    <x:row r="6">
      <x:c r="A6" s="13" t="str">
        <x:v>Product</x:v>
      </x:c>
      <x:c r="B6" s="13" t="str">
        <x:v>pipeline</x:v>
      </x:c>
      <x:c r="C6" s="13" t="str">
        <x:v>01_Study_Visa_Master</x:v>
      </x:c>
      <x:c r="D6" s="13" t="str">
        <x:v>CRM Pipeline</x:v>
      </x:c>
      <x:c r="E6" s="13" t="str">
        <x:v>Text</x:v>
      </x:c>
      <x:c r="F6" s="13" t="str">
        <x:v>Yes</x:v>
      </x:c>
      <x:c r="G6" s="13" t="str">
        <x:v>Korea Study Pipeline</x:v>
      </x:c>
      <x:c r="H6" s="13" t="str">
        <x:v>Auto-assign pipeline</x:v>
      </x:c>
    </x:row>
    <x:row r="7">
      <x:c r="A7" s="13" t="str">
        <x:v>Pricing</x:v>
      </x:c>
      <x:c r="B7" s="13" t="str">
        <x:v>net_cost</x:v>
      </x:c>
      <x:c r="C7" s="13" t="str">
        <x:v>06_Price_Master</x:v>
      </x:c>
      <x:c r="D7" s="13" t="str">
        <x:v>Net Cost</x:v>
      </x:c>
      <x:c r="E7" s="13" t="str">
        <x:v>Currency</x:v>
      </x:c>
      <x:c r="F7" s="13" t="str">
        <x:v>No</x:v>
      </x:c>
      <x:c r="G7" s="13" t="str">
        <x:v>8000000</x:v>
      </x:c>
      <x:c r="H7" s="13" t="str">
        <x:v>Editable by Finance</x:v>
      </x:c>
    </x:row>
    <x:row r="8">
      <x:c r="A8" s="13" t="str">
        <x:v>Pricing</x:v>
      </x:c>
      <x:c r="B8" s="13" t="str">
        <x:v>retail_price</x:v>
      </x:c>
      <x:c r="C8" s="13" t="str">
        <x:v>06_Price_Master</x:v>
      </x:c>
      <x:c r="D8" s="13" t="str">
        <x:v>Retail Price</x:v>
      </x:c>
      <x:c r="E8" s="13" t="str">
        <x:v>Currency</x:v>
      </x:c>
      <x:c r="F8" s="13" t="str">
        <x:v>No</x:v>
      </x:c>
      <x:c r="G8" s="13" t="str">
        <x:v>13600000</x:v>
      </x:c>
      <x:c r="H8" s="13" t="str">
        <x:v>Default customer quote</x:v>
      </x:c>
    </x:row>
    <x:row r="9">
      <x:c r="A9" s="13" t="str">
        <x:v>Status</x:v>
      </x:c>
      <x:c r="B9" s="13" t="str">
        <x:v>product_status</x:v>
      </x:c>
      <x:c r="C9" s="13" t="str">
        <x:v>01_Study_Visa_Master</x:v>
      </x:c>
      <x:c r="D9" s="13" t="str">
        <x:v>Status</x:v>
      </x:c>
      <x:c r="E9" s="13" t="str">
        <x:v>List</x:v>
      </x:c>
      <x:c r="F9" s="13" t="str">
        <x:v>Yes</x:v>
      </x:c>
      <x:c r="G9" s="13" t="str">
        <x:v>Active</x:v>
      </x:c>
      <x:c r="H9" s="13" t="str">
        <x:v>Active/Review/Draft</x:v>
      </x:c>
    </x:row>
    <x:row r="10">
      <x:c r="A10" s="13" t="str">
        <x:v>Checklist</x:v>
      </x:c>
      <x:c r="B10" s="13" t="str">
        <x:v>document_group</x:v>
      </x:c>
      <x:c r="C10" s="13" t="str">
        <x:v>02_Checklist_Master</x:v>
      </x:c>
      <x:c r="D10" s="13" t="str">
        <x:v>Doc Group</x:v>
      </x:c>
      <x:c r="E10" s="13" t="str">
        <x:v>Text</x:v>
      </x:c>
      <x:c r="F10" s="13" t="str">
        <x:v>Yes</x:v>
      </x:c>
      <x:c r="G10" s="13" t="str">
        <x:v>FINANCE</x:v>
      </x:c>
      <x:c r="H10" s="13" t="str">
        <x:v>Generate checklist</x:v>
      </x:c>
    </x:row>
    <x:row r="11">
      <x:c r="A11" s="13" t="str">
        <x:v>Checklist</x:v>
      </x:c>
      <x:c r="B11" s="13" t="str">
        <x:v>document_name</x:v>
      </x:c>
      <x:c r="C11" s="13" t="str">
        <x:v>02_Checklist_Master</x:v>
      </x:c>
      <x:c r="D11" s="13" t="str">
        <x:v>Document Name</x:v>
      </x:c>
      <x:c r="E11" s="13" t="str">
        <x:v>Text</x:v>
      </x:c>
      <x:c r="F11" s="13" t="str">
        <x:v>Yes</x:v>
      </x:c>
      <x:c r="G11" s="13" t="str">
        <x:v>Sổ tiết kiệm</x:v>
      </x:c>
      <x:c r="H11" s="13" t="str">
        <x:v>Generate checklist</x:v>
      </x:c>
    </x:row>
    <x:row r="12">
      <x:c r="A12" s="13" t="str">
        <x:v>Forms</x:v>
      </x:c>
      <x:c r="B12" s="13" t="str">
        <x:v>form_platform</x:v>
      </x:c>
      <x:c r="C12" s="13" t="str">
        <x:v>03_Form_Master</x:v>
      </x:c>
      <x:c r="D12" s="13" t="str">
        <x:v>Form/Platform</x:v>
      </x:c>
      <x:c r="E12" s="13" t="str">
        <x:v>Text</x:v>
      </x:c>
      <x:c r="F12" s="13" t="str">
        <x:v>No</x:v>
      </x:c>
      <x:c r="G12" s="13" t="str">
        <x:v>DS-160</x:v>
      </x:c>
      <x:c r="H12" s="13" t="str">
        <x:v>Link to templates</x:v>
      </x:c>
    </x:row>
    <x:row r="13">
      <x:c r="A13" s="13" t="str">
        <x:v>Country</x:v>
      </x:c>
      <x:c r="B13" s="13" t="str">
        <x:v>authority</x:v>
      </x:c>
      <x:c r="C13" s="13" t="str">
        <x:v>04_Country_Master</x:v>
      </x:c>
      <x:c r="D13" s="13" t="str">
        <x:v>Main Authority/Portal</x:v>
      </x:c>
      <x:c r="E13" s="13" t="str">
        <x:v>Text</x:v>
      </x:c>
      <x:c r="F13" s="13" t="str">
        <x:v>No</x:v>
      </x:c>
      <x:c r="G13" s="13" t="str">
        <x:v>IRCC Portal</x:v>
      </x:c>
      <x:c r="H13" s="13" t="str">
        <x:v>AI knowledge/source</x:v>
      </x:c>
    </x:row>
  </x:sheetData>
  <x:pageMargins left="0.7" right="0.7" top="0.75" bottom="0.75" header="0.3" footer="0.3"/>
  <x:tableParts count="1">
    <x:tablePart xmlns:r="http://schemas.openxmlformats.org/officeDocument/2006/relationships" r:id="R112d58d776aa4ad0"/>
  </x:tableParts>
</x:worksheet>
</file>

<file path=xl/worksheets/sheet9.xml><?xml version="1.0" encoding="utf-8"?>
<x:worksheet xmlns:x="http://schemas.openxmlformats.org/spreadsheetml/2006/main">
  <x:sheetFormatPr defaultRowHeight="15"/>
  <x:cols>
    <x:col min="1" max="1" width="14" hidden="0" customWidth="1"/>
    <x:col min="2" max="2" width="24" hidden="0" customWidth="1"/>
    <x:col min="3" max="3" width="24" hidden="0" customWidth="1"/>
    <x:col min="4" max="4" width="28" hidden="0" customWidth="1"/>
    <x:col min="5" max="5" width="18" hidden="0" customWidth="1"/>
    <x:col min="6" max="6" width="12" hidden="0" customWidth="1"/>
  </x:cols>
  <x:sheetData>
    <x:row r="1">
      <x:c r="A1" s="72" t="str">
        <x:v>Doc Group</x:v>
      </x:c>
      <x:c r="B1" s="72" t="str">
        <x:v>Vietnamese Name</x:v>
      </x:c>
      <x:c r="C1" s="72" t="str">
        <x:v>English Name</x:v>
      </x:c>
      <x:c r="D1" s="72" t="str">
        <x:v>Used For</x:v>
      </x:c>
      <x:c r="E1" s="72" t="str">
        <x:v>Default Owner</x:v>
      </x:c>
      <x:c r="F1" s="72" t="str">
        <x:v>Risk Weight</x:v>
      </x:c>
      <x:c r="G1" s="13"/>
      <x:c r="H1" s="13"/>
      <x:c r="I1" s="13"/>
      <x:c r="J1" s="13"/>
      <x:c r="K1" s="13"/>
      <x:c r="L1" s="13"/>
      <x:c r="M1" s="13"/>
      <x:c r="N1" s="13"/>
      <x:c r="O1" s="13"/>
      <x:c r="P1" s="13"/>
      <x:c r="Q1" s="13"/>
      <x:c r="R1" s="13"/>
      <x:c r="S1" s="13"/>
      <x:c r="T1" s="13"/>
      <x:c r="U1" s="13"/>
      <x:c r="V1" s="13"/>
      <x:c r="W1" s="13"/>
      <x:c r="X1" s="13"/>
      <x:c r="Y1" s="13"/>
      <x:c r="Z1" s="13"/>
    </x:row>
    <x:row r="2">
      <x:c r="A2" s="13" t="str">
        <x:v>PERSONAL</x:v>
      </x:c>
      <x:c r="B2" s="13" t="str">
        <x:v>Hồ sơ cá nhân</x:v>
      </x:c>
      <x:c r="C2" s="13" t="str">
        <x:v>Personal Documents</x:v>
      </x:c>
      <x:c r="D2" s="13" t="str">
        <x:v>All visas</x:v>
      </x:c>
      <x:c r="E2" s="13" t="str">
        <x:v>Admin HS</x:v>
      </x:c>
      <x:c r="F2" s="13" t="n">
        <x:v>1</x:v>
      </x:c>
    </x:row>
    <x:row r="3">
      <x:c r="A3" s="13" t="str">
        <x:v>ACADEMIC</x:v>
      </x:c>
      <x:c r="B3" s="13" t="str">
        <x:v>Hồ sơ học tập</x:v>
      </x:c>
      <x:c r="C3" s="13" t="str">
        <x:v>Academic Documents</x:v>
      </x:c>
      <x:c r="D3" s="13" t="str">
        <x:v>Study visas</x:v>
      </x:c>
      <x:c r="E3" s="13" t="str">
        <x:v>Academic team</x:v>
      </x:c>
      <x:c r="F3" s="13" t="n">
        <x:v>2</x:v>
      </x:c>
    </x:row>
    <x:row r="4">
      <x:c r="A4" s="13" t="str">
        <x:v>ADMISSION</x:v>
      </x:c>
      <x:c r="B4" s="13" t="str">
        <x:v>Hồ sơ nhập học</x:v>
      </x:c>
      <x:c r="C4" s="13" t="str">
        <x:v>Admission Documents</x:v>
      </x:c>
      <x:c r="D4" s="13" t="str">
        <x:v>LOA/COE/CAS/I-20</x:v>
      </x:c>
      <x:c r="E4" s="13" t="str">
        <x:v>Admission team</x:v>
      </x:c>
      <x:c r="F4" s="13" t="n">
        <x:v>3</x:v>
      </x:c>
    </x:row>
    <x:row r="5">
      <x:c r="A5" s="13" t="str">
        <x:v>FINANCE</x:v>
      </x:c>
      <x:c r="B5" s="13" t="str">
        <x:v>Hồ sơ tài chính</x:v>
      </x:c>
      <x:c r="C5" s="13" t="str">
        <x:v>Financial Documents</x:v>
      </x:c>
      <x:c r="D5" s="13" t="str">
        <x:v>Financial proof</x:v>
      </x:c>
      <x:c r="E5" s="13" t="str">
        <x:v>Finance team</x:v>
      </x:c>
      <x:c r="F5" s="13" t="n">
        <x:v>5</x:v>
      </x:c>
    </x:row>
    <x:row r="6">
      <x:c r="A6" s="13" t="str">
        <x:v>SPONSOR</x:v>
      </x:c>
      <x:c r="B6" s="13" t="str">
        <x:v>Người bảo lãnh</x:v>
      </x:c>
      <x:c r="C6" s="13" t="str">
        <x:v>Sponsor Documents</x:v>
      </x:c>
      <x:c r="D6" s="13" t="str">
        <x:v>Parents/sponsor/business</x:v>
      </x:c>
      <x:c r="E6" s="13" t="str">
        <x:v>Finance team</x:v>
      </x:c>
      <x:c r="F6" s="13" t="n">
        <x:v>4</x:v>
      </x:c>
    </x:row>
    <x:row r="7">
      <x:c r="A7" s="13" t="str">
        <x:v>TRAVEL</x:v>
      </x:c>
      <x:c r="B7" s="13" t="str">
        <x:v>Lưu trú &amp; lịch trình</x:v>
      </x:c>
      <x:c r="C7" s="13" t="str">
        <x:v>Travel/Lodging</x:v>
      </x:c>
      <x:c r="D7" s="13" t="str">
        <x:v>Short study/visitor</x:v>
      </x:c>
      <x:c r="E7" s="13" t="str">
        <x:v>Visa team</x:v>
      </x:c>
      <x:c r="F7" s="13" t="n">
        <x:v>2</x:v>
      </x:c>
    </x:row>
    <x:row r="8">
      <x:c r="A8" s="13" t="str">
        <x:v>MEDICAL</x:v>
      </x:c>
      <x:c r="B8" s="13" t="str">
        <x:v>Sức khỏe</x:v>
      </x:c>
      <x:c r="C8" s="13" t="str">
        <x:v>Medical Documents</x:v>
      </x:c>
      <x:c r="D8" s="13" t="str">
        <x:v>AU/CA/NZ/KR as required</x:v>
      </x:c>
      <x:c r="E8" s="13" t="str">
        <x:v>Visa team</x:v>
      </x:c>
      <x:c r="F8" s="13" t="n">
        <x:v>3</x:v>
      </x:c>
    </x:row>
    <x:row r="9">
      <x:c r="A9" s="13" t="str">
        <x:v>BIOMETRIC</x:v>
      </x:c>
      <x:c r="B9" s="13" t="str">
        <x:v>Sinh trắc/phỏng vấn</x:v>
      </x:c>
      <x:c r="C9" s="13" t="str">
        <x:v>Biometric/Interview</x:v>
      </x:c>
      <x:c r="D9" s="13" t="str">
        <x:v>VAC/Embassy stage</x:v>
      </x:c>
      <x:c r="E9" s="13" t="str">
        <x:v>Visa team</x:v>
      </x:c>
      <x:c r="F9" s="13" t="n">
        <x:v>3</x:v>
      </x:c>
    </x:row>
    <x:row r="10">
      <x:c r="A10" s="13" t="str">
        <x:v>LEGAL</x:v>
      </x:c>
      <x:c r="B10" s="13" t="str">
        <x:v>Dịch thuật/công chứng</x:v>
      </x:c>
      <x:c r="C10" s="13" t="str">
        <x:v>Legalized/Translation</x:v>
      </x:c>
      <x:c r="D10" s="13" t="str">
        <x:v>When required</x:v>
      </x:c>
      <x:c r="E10" s="13" t="str">
        <x:v>Admin HS</x:v>
      </x:c>
      <x:c r="F10" s="13" t="n">
        <x:v>2</x:v>
      </x:c>
    </x:row>
  </x:sheetData>
  <x:pageMargins left="0.7" right="0.7" top="0.75" bottom="0.75" header="0.3" footer="0.3"/>
  <x:tableParts count="1">
    <x:tablePart xmlns:r="http://schemas.openxmlformats.org/officeDocument/2006/relationships" r:id="R373a9ac51bb54e2c"/>
  </x:tableParts>
</x:worksheet>
</file>

<file path=xl/worksheets/sheet10.xml><?xml version="1.0" encoding="utf-8"?>
<x:worksheet xmlns:x="http://schemas.openxmlformats.org/spreadsheetml/2006/main">
  <x:sheetFormatPr defaultRowHeight="15"/>
  <x:cols>
    <x:col min="1" max="1" width="14" hidden="0" customWidth="1"/>
    <x:col min="2" max="2" width="20" hidden="0" customWidth="1"/>
    <x:col min="3" max="3" width="34" hidden="0" customWidth="1"/>
    <x:col min="4" max="4" width="20" hidden="0" customWidth="1"/>
    <x:col min="5" max="5" width="20" hidden="0" customWidth="1"/>
    <x:col min="6" max="6" width="14" hidden="0" customWidth="1"/>
  </x:cols>
  <x:sheetData>
    <x:row r="1">
      <x:c r="A1" s="72" t="str">
        <x:v>Status Code</x:v>
      </x:c>
      <x:c r="B1" s="72" t="str">
        <x:v>Status Name</x:v>
      </x:c>
      <x:c r="C1" s="72" t="str">
        <x:v>Meaning</x:v>
      </x:c>
      <x:c r="D1" s="72" t="str">
        <x:v>Allowed Next Status</x:v>
      </x:c>
      <x:c r="E1" s="72" t="str">
        <x:v>CRM Stage</x:v>
      </x:c>
      <x:c r="F1" s="72" t="str">
        <x:v>Color Note</x:v>
      </x:c>
      <x:c r="G1" s="13"/>
      <x:c r="H1" s="13"/>
      <x:c r="I1" s="13"/>
      <x:c r="J1" s="13"/>
      <x:c r="K1" s="13"/>
      <x:c r="L1" s="13"/>
      <x:c r="M1" s="13"/>
      <x:c r="N1" s="13"/>
      <x:c r="O1" s="13"/>
      <x:c r="P1" s="13"/>
      <x:c r="Q1" s="13"/>
      <x:c r="R1" s="13"/>
      <x:c r="S1" s="13"/>
      <x:c r="T1" s="13"/>
      <x:c r="U1" s="13"/>
      <x:c r="V1" s="13"/>
      <x:c r="W1" s="13"/>
      <x:c r="X1" s="13"/>
      <x:c r="Y1" s="13"/>
      <x:c r="Z1" s="13"/>
    </x:row>
    <x:row r="2">
      <x:c r="A2" s="13" t="str">
        <x:v>LEAD</x:v>
      </x:c>
      <x:c r="B2" s="13" t="str">
        <x:v>Lead mới</x:v>
      </x:c>
      <x:c r="C2" s="13" t="str">
        <x:v>Khách mới phát sinh</x:v>
      </x:c>
      <x:c r="D2" s="13" t="str">
        <x:v>QUALIFIED</x:v>
      </x:c>
      <x:c r="E2" s="13" t="str">
        <x:v>Lead</x:v>
      </x:c>
      <x:c r="F2" s="13" t="str">
        <x:v>#EAF2FB</x:v>
      </x:c>
    </x:row>
    <x:row r="3">
      <x:c r="A3" s="13" t="str">
        <x:v>QUALIFIED</x:v>
      </x:c>
      <x:c r="B3" s="13" t="str">
        <x:v>Đã sàng lọc</x:v>
      </x:c>
      <x:c r="C3" s="13" t="str">
        <x:v>Đủ điều kiện tư vấn sâu</x:v>
      </x:c>
      <x:c r="D3" s="13" t="str">
        <x:v>COUNSELLING</x:v>
      </x:c>
      <x:c r="E3" s="13" t="str">
        <x:v>Qualified</x:v>
      </x:c>
      <x:c r="F3" s="13" t="str">
        <x:v>#DBEAFE</x:v>
      </x:c>
    </x:row>
    <x:row r="4">
      <x:c r="A4" s="13" t="str">
        <x:v>COUNSELLING</x:v>
      </x:c>
      <x:c r="B4" s="13" t="str">
        <x:v>Đang tư vấn</x:v>
      </x:c>
      <x:c r="C4" s="13" t="str">
        <x:v>Đang xây lộ trình/quote</x:v>
      </x:c>
      <x:c r="D4" s="13" t="str">
        <x:v>OFFER</x:v>
      </x:c>
      <x:c r="E4" s="13" t="str">
        <x:v>Counselling</x:v>
      </x:c>
      <x:c r="F4" s="13" t="str">
        <x:v>#FEF3C7</x:v>
      </x:c>
    </x:row>
    <x:row r="5">
      <x:c r="A5" s="13" t="str">
        <x:v>OFFER</x:v>
      </x:c>
      <x:c r="B5" s="13" t="str">
        <x:v>Xin thư mời</x:v>
      </x:c>
      <x:c r="C5" s="13" t="str">
        <x:v>Đang nộp trường/nhận LOA</x:v>
      </x:c>
      <x:c r="D5" s="13" t="str">
        <x:v>DEPOSIT</x:v>
      </x:c>
      <x:c r="E5" s="13" t="str">
        <x:v>Offer/LOA</x:v>
      </x:c>
      <x:c r="F5" s="13" t="str">
        <x:v>#FDE68A</x:v>
      </x:c>
    </x:row>
    <x:row r="6">
      <x:c r="A6" s="13" t="str">
        <x:v>DEPOSIT</x:v>
      </x:c>
      <x:c r="B6" s="13" t="str">
        <x:v>Đã đặt cọc</x:v>
      </x:c>
      <x:c r="C6" s="13" t="str">
        <x:v>Đã thu phí/đặt cọc trường</x:v>
      </x:c>
      <x:c r="D6" s="13" t="str">
        <x:v>VISA_PREPARE</x:v>
      </x:c>
      <x:c r="E6" s="13" t="str">
        <x:v>Deposit</x:v>
      </x:c>
      <x:c r="F6" s="13" t="str">
        <x:v>#DCFCE7</x:v>
      </x:c>
    </x:row>
    <x:row r="7">
      <x:c r="A7" s="13" t="str">
        <x:v>VISA_PREPARE</x:v>
      </x:c>
      <x:c r="B7" s="13" t="str">
        <x:v>Chuẩn bị visa</x:v>
      </x:c>
      <x:c r="C7" s="13" t="str">
        <x:v>Checklist, SOP, tài chính</x:v>
      </x:c>
      <x:c r="D7" s="13" t="str">
        <x:v>SUBMITTED</x:v>
      </x:c>
      <x:c r="E7" s="13" t="str">
        <x:v>Visa Prepare</x:v>
      </x:c>
      <x:c r="F7" s="13" t="str">
        <x:v>#E0E7FF</x:v>
      </x:c>
    </x:row>
    <x:row r="8">
      <x:c r="A8" s="13" t="str">
        <x:v>SUBMITTED</x:v>
      </x:c>
      <x:c r="B8" s="13" t="str">
        <x:v>Đã nộp visa</x:v>
      </x:c>
      <x:c r="C8" s="13" t="str">
        <x:v>Đã submit hồ sơ</x:v>
      </x:c>
      <x:c r="D8" s="13" t="str">
        <x:v>BIOMETRIC_MEDICAL</x:v>
      </x:c>
      <x:c r="E8" s="13" t="str">
        <x:v>Submitted</x:v>
      </x:c>
      <x:c r="F8" s="13" t="str">
        <x:v>#DDD6FE</x:v>
      </x:c>
    </x:row>
    <x:row r="9">
      <x:c r="A9" s="13" t="str">
        <x:v>BIOMETRIC_MEDICAL</x:v>
      </x:c>
      <x:c r="B9" s="13" t="str">
        <x:v>Sinh trắc/Khám SK</x:v>
      </x:c>
      <x:c r="C9" s="13" t="str">
        <x:v>Hoàn thành yêu cầu lãnh sự</x:v>
      </x:c>
      <x:c r="D9" s="13" t="str">
        <x:v>RESULT</x:v>
      </x:c>
      <x:c r="E9" s="13" t="str">
        <x:v>Biometrics/Medical</x:v>
      </x:c>
      <x:c r="F9" s="13" t="str">
        <x:v>#C4B5FD</x:v>
      </x:c>
    </x:row>
    <x:row r="10">
      <x:c r="A10" s="13" t="str">
        <x:v>RESULT</x:v>
      </x:c>
      <x:c r="B10" s="13" t="str">
        <x:v>Có kết quả</x:v>
      </x:c>
      <x:c r="C10" s="13" t="str">
        <x:v>Granted/Refused/Withdrawn</x:v>
      </x:c>
      <x:c r="D10" s="13" t="str">
        <x:v>ARRIVAL</x:v>
      </x:c>
      <x:c r="E10" s="13" t="str">
        <x:v>Result</x:v>
      </x:c>
      <x:c r="F10" s="13" t="str">
        <x:v>#BBF7D0</x:v>
      </x:c>
    </x:row>
    <x:row r="11">
      <x:c r="A11" s="13" t="str">
        <x:v>ARRIVAL</x:v>
      </x:c>
      <x:c r="B11" s="13" t="str">
        <x:v>Đã nhập cảnh</x:v>
      </x:c>
      <x:c r="C11" s="13" t="str">
        <x:v>Hỗ trợ sau bay</x:v>
      </x:c>
      <x:c r="D11" s="13" t="str">
        <x:v>ALUMNI</x:v>
      </x:c>
      <x:c r="E11" s="13" t="str">
        <x:v>Arrival</x:v>
      </x:c>
      <x:c r="F11" s="13" t="str">
        <x:v>#D1FAE5</x:v>
      </x:c>
    </x:row>
    <x:row r="12">
      <x:c r="A12" s="13" t="str">
        <x:v>ALUMNI</x:v>
      </x:c>
      <x:c r="B12" s="13" t="str">
        <x:v>Cựu học viên</x:v>
      </x:c>
      <x:c r="C12" s="13" t="str">
        <x:v>CSKH/referral</x:v>
      </x:c>
      <x:c r="D12" s="13" t="str">
        <x:v>END</x:v>
      </x:c>
      <x:c r="E12" s="13" t="str">
        <x:v>Alumni</x:v>
      </x:c>
      <x:c r="F12" s="13" t="str">
        <x:v>#F3F4F6</x:v>
      </x:c>
    </x:row>
  </x:sheetData>
  <x:pageMargins left="0.7" right="0.7" top="0.75" bottom="0.75" header="0.3" footer="0.3"/>
  <x:tableParts count="1">
    <x:tablePart xmlns:r="http://schemas.openxmlformats.org/officeDocument/2006/relationships" r:id="R35f3b29232994211"/>
  </x:tableParts>
</x:worksheet>
</file>

<file path=xl/worksheets/sheet11.xml><?xml version="1.0" encoding="utf-8"?>
<x:worksheet xmlns:x="http://schemas.openxmlformats.org/spreadsheetml/2006/main">
  <x:sheetFormatPr defaultRowHeight="15"/>
  <x:cols>
    <x:col min="1" max="1" width="12" hidden="0" customWidth="1"/>
    <x:col min="2" max="2" width="16" hidden="0" customWidth="1"/>
    <x:col min="3" max="3" width="22" hidden="0" customWidth="1"/>
    <x:col min="4" max="4" width="24" hidden="0" customWidth="1"/>
    <x:col min="5" max="5" width="20" hidden="0" customWidth="1"/>
    <x:col min="6" max="6" width="18" hidden="0" customWidth="1"/>
    <x:col min="7" max="7" width="18" hidden="0" customWidth="1"/>
    <x:col min="8" max="8" width="26" hidden="0" customWidth="1"/>
    <x:col min="9" max="9" width="18" hidden="0" customWidth="1"/>
    <x:col min="10" max="10" width="14" hidden="0" customWidth="1"/>
    <x:col min="11" max="11" width="12" hidden="0" customWidth="1"/>
    <x:col min="12" max="12" width="36" hidden="0" customWidth="1"/>
  </x:cols>
  <x:sheetData>
    <x:row r="1">
      <x:c r="A1" s="72" t="str">
        <x:v>Sync ID</x:v>
      </x:c>
      <x:c r="B1" s="72" t="str">
        <x:v>Object Type</x:v>
      </x:c>
      <x:c r="C1" s="72" t="str">
        <x:v>Primary Key</x:v>
      </x:c>
      <x:c r="D1" s="72" t="str">
        <x:v>Source Sheet</x:v>
      </x:c>
      <x:c r="E1" s="72" t="str">
        <x:v>Target System</x:v>
      </x:c>
      <x:c r="F1" s="72" t="str">
        <x:v>Sync Direction</x:v>
      </x:c>
      <x:c r="G1" s="72" t="str">
        <x:v>Update Frequency</x:v>
      </x:c>
      <x:c r="H1" s="72" t="str">
        <x:v>Validation Rule</x:v>
      </x:c>
      <x:c r="I1" s="72" t="str">
        <x:v>Owner</x:v>
      </x:c>
      <x:c r="J1" s="72" t="str">
        <x:v>Last Updated</x:v>
      </x:c>
      <x:c r="K1" s="72" t="str">
        <x:v>Status</x:v>
      </x:c>
      <x:c r="L1" s="72" t="str">
        <x:v>Note</x:v>
      </x:c>
      <x:c r="M1" s="13"/>
      <x:c r="N1" s="13"/>
      <x:c r="O1" s="13"/>
      <x:c r="P1" s="13"/>
      <x:c r="Q1" s="13"/>
      <x:c r="R1" s="13"/>
      <x:c r="S1" s="13"/>
      <x:c r="T1" s="13"/>
      <x:c r="U1" s="13"/>
      <x:c r="V1" s="13"/>
      <x:c r="W1" s="13"/>
      <x:c r="X1" s="13"/>
      <x:c r="Y1" s="13"/>
      <x:c r="Z1" s="13"/>
    </x:row>
    <x:row r="2">
      <x:c r="A2" s="13" t="str">
        <x:v>SYNC-001</x:v>
      </x:c>
      <x:c r="B2" s="13" t="str">
        <x:v>Product</x:v>
      </x:c>
      <x:c r="C2" s="13" t="str">
        <x:v>Visa Code Chuẩn</x:v>
      </x:c>
      <x:c r="D2" s="13" t="str">
        <x:v>01_Study_Visa_Master</x:v>
      </x:c>
      <x:c r="E2" s="13" t="str">
        <x:v>Getfly/Base CRM</x:v>
      </x:c>
      <x:c r="F2" s="13" t="str">
        <x:v>Excel -&gt; CRM</x:v>
      </x:c>
      <x:c r="G2" s="13" t="str">
        <x:v>Weekly</x:v>
      </x:c>
      <x:c r="H2" s="13" t="str">
        <x:v>Unique product_code</x:v>
      </x:c>
      <x:c r="I2" s="13" t="str">
        <x:v>Admin CRM</x:v>
      </x:c>
      <x:c r="J2" s="28" t="n">
        <x:v>46199</x:v>
      </x:c>
      <x:c r="K2" s="13" t="str">
        <x:v>Draft</x:v>
      </x:c>
      <x:c r="L2" s="13" t="str">
        <x:v>Nạp danh mục sản phẩm du học</x:v>
      </x:c>
    </x:row>
    <x:row r="3">
      <x:c r="A3" s="13" t="str">
        <x:v>SYNC-002</x:v>
      </x:c>
      <x:c r="B3" s="13" t="str">
        <x:v>Pricing</x:v>
      </x:c>
      <x:c r="C3" s="13" t="str">
        <x:v>Visa Code Chuẩn</x:v>
      </x:c>
      <x:c r="D3" s="13" t="str">
        <x:v>06_Price_Master</x:v>
      </x:c>
      <x:c r="E3" s="13" t="str">
        <x:v>MISA/Accounting</x:v>
      </x:c>
      <x:c r="F3" s="13" t="str">
        <x:v>Excel -&gt; Accounting</x:v>
      </x:c>
      <x:c r="G3" s="13" t="str">
        <x:v>Monthly</x:v>
      </x:c>
      <x:c r="H3" s="13" t="str">
        <x:v>Price status Active</x:v>
      </x:c>
      <x:c r="I3" s="13" t="str">
        <x:v>Finance</x:v>
      </x:c>
      <x:c r="J3" s="28" t="n">
        <x:v>46199</x:v>
      </x:c>
      <x:c r="K3" s="13" t="str">
        <x:v>Draft</x:v>
      </x:c>
      <x:c r="L3" s="13" t="str">
        <x:v>Đồng bộ giá bán/net/commission</x:v>
      </x:c>
    </x:row>
    <x:row r="4">
      <x:c r="A4" s="13" t="str">
        <x:v>SYNC-003</x:v>
      </x:c>
      <x:c r="B4" s="13" t="str">
        <x:v>Checklist</x:v>
      </x:c>
      <x:c r="C4" s="13" t="str">
        <x:v>Checklist ID</x:v>
      </x:c>
      <x:c r="D4" s="13" t="str">
        <x:v>02_Checklist_Master</x:v>
      </x:c>
      <x:c r="E4" s="13" t="str">
        <x:v>Document Generator</x:v>
      </x:c>
      <x:c r="F4" s="13" t="str">
        <x:v>Excel -&gt; App</x:v>
      </x:c>
      <x:c r="G4" s="13" t="str">
        <x:v>Weekly</x:v>
      </x:c>
      <x:c r="H4" s="13" t="str">
        <x:v>Visa Code exists</x:v>
      </x:c>
      <x:c r="I4" s="13" t="str">
        <x:v>Ops HS</x:v>
      </x:c>
      <x:c r="J4" s="28" t="n">
        <x:v>46199</x:v>
      </x:c>
      <x:c r="K4" s="13" t="str">
        <x:v>Draft</x:v>
      </x:c>
      <x:c r="L4" s="13" t="str">
        <x:v>Sinh checklist tự động theo visa</x:v>
      </x:c>
    </x:row>
    <x:row r="5">
      <x:c r="A5" s="13" t="str">
        <x:v>SYNC-004</x:v>
      </x:c>
      <x:c r="B5" s="13" t="str">
        <x:v>Forms</x:v>
      </x:c>
      <x:c r="C5" s="13" t="str">
        <x:v>Form ID</x:v>
      </x:c>
      <x:c r="D5" s="13" t="str">
        <x:v>03_Form_Master</x:v>
      </x:c>
      <x:c r="E5" s="13" t="str">
        <x:v>Template Library</x:v>
      </x:c>
      <x:c r="F5" s="13" t="str">
        <x:v>Excel -&gt; Drive</x:v>
      </x:c>
      <x:c r="G5" s="13" t="str">
        <x:v>Monthly</x:v>
      </x:c>
      <x:c r="H5" s="13" t="str">
        <x:v>Source verified</x:v>
      </x:c>
      <x:c r="I5" s="13" t="str">
        <x:v>Visa Lead</x:v>
      </x:c>
      <x:c r="J5" s="28" t="n">
        <x:v>46199</x:v>
      </x:c>
      <x:c r="K5" s="13" t="str">
        <x:v>Draft</x:v>
      </x:c>
      <x:c r="L5" s="13" t="str">
        <x:v>Mapping biểu mẫu</x:v>
      </x:c>
    </x:row>
    <x:row r="6">
      <x:c r="A6" s="13" t="str">
        <x:v>SYNC-005</x:v>
      </x:c>
      <x:c r="B6" s="13" t="str">
        <x:v>Country</x:v>
      </x:c>
      <x:c r="C6" s="13" t="str">
        <x:v>Country Code</x:v>
      </x:c>
      <x:c r="D6" s="13" t="str">
        <x:v>04_Country_Master</x:v>
      </x:c>
      <x:c r="E6" s="13" t="str">
        <x:v>AI Knowledge Base</x:v>
      </x:c>
      <x:c r="F6" s="13" t="str">
        <x:v>Excel -&gt; AI</x:v>
      </x:c>
      <x:c r="G6" s="13" t="str">
        <x:v>Monthly</x:v>
      </x:c>
      <x:c r="H6" s="13" t="str">
        <x:v>Source URL present</x:v>
      </x:c>
      <x:c r="I6" s="13" t="str">
        <x:v>Marketing/AI</x:v>
      </x:c>
      <x:c r="J6" s="28" t="n">
        <x:v>46199</x:v>
      </x:c>
      <x:c r="K6" s="13" t="str">
        <x:v>Draft</x:v>
      </x:c>
      <x:c r="L6" s="13" t="str">
        <x:v>Nguồn trả lời AI nội bộ</x:v>
      </x:c>
    </x:row>
    <x:row r="7">
      <x:c r="A7" s="13" t="str">
        <x:v>SYNC-006</x:v>
      </x:c>
      <x:c r="B7" s="13" t="str">
        <x:v>School</x:v>
      </x:c>
      <x:c r="C7" s="13" t="str">
        <x:v>School ID</x:v>
      </x:c>
      <x:c r="D7" s="13" t="str">
        <x:v>05_School_Partner_Master</x:v>
      </x:c>
      <x:c r="E7" s="13" t="str">
        <x:v>Partner CRM</x:v>
      </x:c>
      <x:c r="F7" s="13" t="str">
        <x:v>Excel -&gt; CRM</x:v>
      </x:c>
      <x:c r="G7" s="13" t="str">
        <x:v>Monthly</x:v>
      </x:c>
      <x:c r="H7" s="13" t="str">
        <x:v>Country exists</x:v>
      </x:c>
      <x:c r="I7" s="13" t="str">
        <x:v>BD/Partnership</x:v>
      </x:c>
      <x:c r="J7" s="28" t="n">
        <x:v>46199</x:v>
      </x:c>
      <x:c r="K7" s="13" t="str">
        <x:v>Draft</x:v>
      </x:c>
      <x:c r="L7" s="13" t="str">
        <x:v>Quản trị đối tác trường</x:v>
      </x:c>
    </x:row>
    <x:row r="8">
      <x:c r="J8" s="29"/>
    </x:row>
    <x:row r="9">
      <x:c r="J9" s="29"/>
    </x:row>
    <x:row r="10">
      <x:c r="J10" s="29"/>
    </x:row>
    <x:row r="11">
      <x:c r="J11" s="29"/>
    </x:row>
    <x:row r="12">
      <x:c r="J12" s="29"/>
    </x:row>
    <x:row r="13">
      <x:c r="J13" s="29"/>
    </x:row>
    <x:row r="14">
      <x:c r="J14" s="29"/>
    </x:row>
    <x:row r="15">
      <x:c r="J15" s="29"/>
    </x:row>
    <x:row r="16">
      <x:c r="J16" s="29"/>
    </x:row>
    <x:row r="17">
      <x:c r="J17" s="29"/>
    </x:row>
    <x:row r="18">
      <x:c r="J18" s="29"/>
    </x:row>
    <x:row r="19">
      <x:c r="J19" s="29"/>
    </x:row>
    <x:row r="20">
      <x:c r="J20" s="29"/>
    </x:row>
  </x:sheetData>
  <x:pageMargins left="0.7" right="0.7" top="0.75" bottom="0.75" header="0.3" footer="0.3"/>
  <x:tableParts count="1">
    <x:tablePart xmlns:r="http://schemas.openxmlformats.org/officeDocument/2006/relationships" r:id="Ra71bc325f9db4f58"/>
  </x:tableParts>
</x:worksheet>
</file>

<file path=xl/worksheets/sheet12.xml><?xml version="1.0" encoding="utf-8"?>
<x:worksheet xmlns:x="http://schemas.openxmlformats.org/spreadsheetml/2006/main">
  <x:sheetFormatPr defaultRowHeight="15"/>
  <x:cols>
    <x:col min="1" max="1" width="14" hidden="0" customWidth="1"/>
    <x:col min="2" max="2" width="18" hidden="0" customWidth="1"/>
    <x:col min="3" max="3" width="34" hidden="0" customWidth="1"/>
    <x:col min="4" max="4" width="60" hidden="0" customWidth="1"/>
    <x:col min="5" max="5" width="22" hidden="0" customWidth="1"/>
    <x:col min="6" max="6" width="34" hidden="0" customWidth="1"/>
    <x:col min="7" max="7" width="14" hidden="0" customWidth="1"/>
    <x:col min="8" max="8" width="18" hidden="0" customWidth="1"/>
  </x:cols>
  <x:sheetData>
    <x:row r="1">
      <x:c r="A1" s="72" t="str">
        <x:v>AI Topic ID</x:v>
      </x:c>
      <x:c r="B1" s="72" t="str">
        <x:v>Topic Cluster</x:v>
      </x:c>
      <x:c r="C1" s="72" t="str">
        <x:v>Question/Prompt mẫu</x:v>
      </x:c>
      <x:c r="D1" s="72" t="str">
        <x:v>Approved Answer Base</x:v>
      </x:c>
      <x:c r="E1" s="72" t="str">
        <x:v>Primary Source Sheet</x:v>
      </x:c>
      <x:c r="F1" s="72" t="str">
        <x:v>Risk/Compliance Note</x:v>
      </x:c>
      <x:c r="G1" s="72" t="str">
        <x:v>Last Reviewed</x:v>
      </x:c>
      <x:c r="H1" s="72" t="str">
        <x:v>Owner</x:v>
      </x:c>
      <x:c r="I1" s="13"/>
      <x:c r="J1" s="13"/>
      <x:c r="K1" s="13"/>
      <x:c r="L1" s="13"/>
      <x:c r="M1" s="13"/>
      <x:c r="N1" s="13"/>
      <x:c r="O1" s="13"/>
      <x:c r="P1" s="13"/>
      <x:c r="Q1" s="13"/>
      <x:c r="R1" s="13"/>
      <x:c r="S1" s="13"/>
      <x:c r="T1" s="13"/>
      <x:c r="U1" s="13"/>
      <x:c r="V1" s="13"/>
      <x:c r="W1" s="13"/>
      <x:c r="X1" s="13"/>
      <x:c r="Y1" s="13"/>
      <x:c r="Z1" s="13"/>
    </x:row>
    <x:row r="2">
      <x:c r="A2" s="13" t="str">
        <x:v>AI-ST-001</x:v>
      </x:c>
      <x:c r="B2" s="13" t="str">
        <x:v>HTO Study Visa</x:v>
      </x:c>
      <x:c r="C2" s="13" t="str">
        <x:v>HTO đang xử lý các diện visa du học nào?</x:v>
      </x:c>
      <x:c r="D2" s="13" t="str">
        <x:v>HTO có thể quản trị hồ sơ du học cho các thị trường Hàn, Nhật, Trung, Đài Loan, Đức, Schengen, UK, Mỹ, Úc, Canada và New Zealand theo từng mã visa trong Study Visa Master.</x:v>
      </x:c>
      <x:c r="E2" s="13" t="str">
        <x:v>01_Study_Visa_Master</x:v>
      </x:c>
      <x:c r="F2" s="13" t="str">
        <x:v>Không cam kết kết quả visa; luôn kiểm chứng chính sách mới</x:v>
      </x:c>
      <x:c r="G2" s="28" t="n">
        <x:v>46199</x:v>
      </x:c>
      <x:c r="H2" s="13" t="str">
        <x:v>AI/Training</x:v>
      </x:c>
    </x:row>
    <x:row r="3">
      <x:c r="A3" s="13" t="str">
        <x:v>AI-ST-002</x:v>
      </x:c>
      <x:c r="B3" s="13" t="str">
        <x:v>Korea</x:v>
      </x:c>
      <x:c r="C3" s="13" t="str">
        <x:v>Visa D4-1 khác D2-2 thế nào?</x:v>
      </x:c>
      <x:c r="D3" s="13" t="str">
        <x:v>D4-1 thường dùng cho học tiếng Hàn tại viện ngôn ngữ; D2-2 dùng cho chương trình đại học chính quy. Điều kiện chi tiết phụ thuộc trường và cơ quan xét duyệt.</x:v>
      </x:c>
      <x:c r="E3" s="13" t="str">
        <x:v>01_Study_Visa_Master</x:v>
      </x:c>
      <x:c r="F3" s="13" t="str">
        <x:v>Không tư vấn như kết quả chắc chắn</x:v>
      </x:c>
      <x:c r="G3" s="28" t="n">
        <x:v>46199</x:v>
      </x:c>
      <x:c r="H3" s="13" t="str">
        <x:v>Team Korea</x:v>
      </x:c>
    </x:row>
    <x:row r="4">
      <x:c r="A4" s="13" t="str">
        <x:v>AI-ST-003</x:v>
      </x:c>
      <x:c r="B4" s="13" t="str">
        <x:v>Canada</x:v>
      </x:c>
      <x:c r="C4" s="13" t="str">
        <x:v>Study Permit Canada gồm giấy tờ gì?</x:v>
      </x:c>
      <x:c r="D4" s="13" t="str">
        <x:v>Thường cần LOA, giấy tờ cá nhân, học tập, tài chính, study plan, PAL/TAL nếu áp dụng, sinh trắc/khám sức khỏe tùy hồ sơ.</x:v>
      </x:c>
      <x:c r="E4" s="13" t="str">
        <x:v>02_Checklist_Master</x:v>
      </x:c>
      <x:c r="F4" s="13" t="str">
        <x:v>IRCC thay đổi thường xuyên</x:v>
      </x:c>
      <x:c r="G4" s="28" t="n">
        <x:v>46199</x:v>
      </x:c>
      <x:c r="H4" s="13" t="str">
        <x:v>Team Canada</x:v>
      </x:c>
    </x:row>
    <x:row r="5">
      <x:c r="A5" s="13" t="str">
        <x:v>AI-ST-004</x:v>
      </x:c>
      <x:c r="B5" s="13" t="str">
        <x:v>Australia</x:v>
      </x:c>
      <x:c r="C5" s="13" t="str">
        <x:v>Subclass 500 cần lưu ý gì?</x:v>
      </x:c>
      <x:c r="D5" s="13" t="str">
        <x:v>Cần COE, hồ sơ học tập, tài chính, GS/GTE và sức khỏe/lý lịch theo yêu cầu. Hồ sơ phải thể hiện mục đích học tập hợp lý.</x:v>
      </x:c>
      <x:c r="E5" s="13" t="str">
        <x:v>01_Study_Visa_Master</x:v>
      </x:c>
      <x:c r="F5" s="13" t="str">
        <x:v>DOHA thay đổi policy, cần kiểm chứng</x:v>
      </x:c>
      <x:c r="G5" s="28" t="n">
        <x:v>46199</x:v>
      </x:c>
      <x:c r="H5" s="13" t="str">
        <x:v>Team Australia</x:v>
      </x:c>
    </x:row>
    <x:row r="6">
      <x:c r="A6" s="13" t="str">
        <x:v>AI-ST-005</x:v>
      </x:c>
      <x:c r="B6" s="13" t="str">
        <x:v>US</x:v>
      </x:c>
      <x:c r="C6" s="13" t="str">
        <x:v>F1 và M1 khác nhau thế nào?</x:v>
      </x:c>
      <x:c r="D6" s="13" t="str">
        <x:v>F1 dành cho chương trình học thuật chính quy; M1 dành cho chương trình nghề/phi học thuật. Cả hai cần DS-160, SEVIS và phỏng vấn.</x:v>
      </x:c>
      <x:c r="E6" s="13" t="str">
        <x:v>03_Form_Master</x:v>
      </x:c>
      <x:c r="F6" s="13" t="str">
        <x:v>Không đưa hướng dẫn gian dối phỏng vấn</x:v>
      </x:c>
      <x:c r="G6" s="28" t="n">
        <x:v>46199</x:v>
      </x:c>
      <x:c r="H6" s="13" t="str">
        <x:v>Team US</x:v>
      </x:c>
    </x:row>
    <x:row r="7">
      <x:c r="A7" s="13" t="str">
        <x:v>AI-ST-006</x:v>
      </x:c>
      <x:c r="B7" s="13" t="str">
        <x:v>Pricing</x:v>
      </x:c>
      <x:c r="C7" s="13" t="str">
        <x:v>Mã VIS-KR-ST01 nghĩa là gì?</x:v>
      </x:c>
      <x:c r="D7" s="13" t="str">
        <x:v>VIS-KR-ST01 là mã ngắn nội bộ dành cho sản phẩm du học tiếng Hàn D4-1 của HTO, dùng cho Sales/Kế toán tra cứu nhanh.</x:v>
      </x:c>
      <x:c r="E7" s="13" t="str">
        <x:v>06_Price_Master</x:v>
      </x:c>
      <x:c r="F7" s="13" t="str">
        <x:v>Giá thực tế cần xác nhận với bảng giá hiện hành</x:v>
      </x:c>
      <x:c r="G7" s="28" t="n">
        <x:v>46199</x:v>
      </x:c>
      <x:c r="H7" s="13" t="str">
        <x:v>Finance</x:v>
      </x:c>
    </x:row>
    <x:row r="8">
      <x:c r="G8" s="29"/>
    </x:row>
    <x:row r="9">
      <x:c r="G9" s="29"/>
    </x:row>
    <x:row r="10">
      <x:c r="G10" s="29"/>
    </x:row>
    <x:row r="11">
      <x:c r="G11" s="29"/>
    </x:row>
    <x:row r="12">
      <x:c r="G12" s="29"/>
    </x:row>
    <x:row r="13">
      <x:c r="G13" s="29"/>
    </x:row>
    <x:row r="14">
      <x:c r="G14" s="29"/>
    </x:row>
    <x:row r="15">
      <x:c r="G15" s="29"/>
    </x:row>
    <x:row r="16">
      <x:c r="G16" s="29"/>
    </x:row>
    <x:row r="17">
      <x:c r="G17" s="29"/>
    </x:row>
    <x:row r="18">
      <x:c r="G18" s="29"/>
    </x:row>
    <x:row r="19">
      <x:c r="G19" s="29"/>
    </x:row>
    <x:row r="20">
      <x:c r="G20" s="29"/>
    </x:row>
  </x:sheetData>
  <x:pageMargins left="0.7" right="0.7" top="0.75" bottom="0.75" header="0.3" footer="0.3"/>
  <x:tableParts count="1">
    <x:tablePart xmlns:r="http://schemas.openxmlformats.org/officeDocument/2006/relationships" r:id="R77dd90fd68eb4142"/>
  </x:tableParts>
</x:worksheet>
</file>

<file path=xl/worksheets/sheet13.xml><?xml version="1.0" encoding="utf-8"?>
<x:worksheet xmlns:x="http://schemas.openxmlformats.org/spreadsheetml/2006/main">
  <x:sheetFormatPr defaultRowHeight="15"/>
  <x:cols>
    <x:col min="1" max="1" width="12" hidden="0" customWidth="1"/>
    <x:col min="2" max="2" width="14" hidden="0" customWidth="1"/>
    <x:col min="3" max="3" width="30" hidden="0" customWidth="1"/>
    <x:col min="4" max="4" width="54" hidden="0" customWidth="1"/>
    <x:col min="5" max="5" width="14" hidden="0" customWidth="1"/>
    <x:col min="6" max="6" width="24" hidden="0" customWidth="1"/>
    <x:col min="7" max="7" width="20" hidden="0" customWidth="1"/>
    <x:col min="8" max="8" width="40" hidden="0" customWidth="1"/>
  </x:cols>
  <x:sheetData>
    <x:row r="1">
      <x:c r="A1" s="72" t="str">
        <x:v>Source ID</x:v>
      </x:c>
      <x:c r="B1" s="72" t="str">
        <x:v>Source Type</x:v>
      </x:c>
      <x:c r="C1" s="72" t="str">
        <x:v>Source Name</x:v>
      </x:c>
      <x:c r="D1" s="72" t="str">
        <x:v>URL/Reference</x:v>
      </x:c>
      <x:c r="E1" s="72" t="str">
        <x:v>Reliability</x:v>
      </x:c>
      <x:c r="F1" s="72" t="str">
        <x:v>Used For</x:v>
      </x:c>
      <x:c r="G1" s="72" t="str">
        <x:v>Verification Status</x:v>
      </x:c>
      <x:c r="H1" s="72" t="str">
        <x:v>Notes</x:v>
      </x:c>
      <x:c r="I1" s="13"/>
      <x:c r="J1" s="13"/>
      <x:c r="K1" s="13"/>
      <x:c r="L1" s="13"/>
      <x:c r="M1" s="13"/>
      <x:c r="N1" s="13"/>
      <x:c r="O1" s="13"/>
      <x:c r="P1" s="13"/>
      <x:c r="Q1" s="13"/>
      <x:c r="R1" s="13"/>
      <x:c r="S1" s="13"/>
      <x:c r="T1" s="13"/>
      <x:c r="U1" s="13"/>
      <x:c r="V1" s="13"/>
      <x:c r="W1" s="13"/>
      <x:c r="X1" s="13"/>
      <x:c r="Y1" s="13"/>
      <x:c r="Z1" s="13"/>
    </x:row>
    <x:row r="2">
      <x:c r="A2" s="13" t="str">
        <x:v>SRC-001</x:v>
      </x:c>
      <x:c r="B2" s="13" t="str">
        <x:v>Internal</x:v>
      </x:c>
      <x:c r="C2" s="13" t="str">
        <x:v>User-provided HTO study visa taxonomy</x:v>
      </x:c>
      <x:c r="D2" s="13" t="str">
        <x:v>Conversation content</x:v>
      </x:c>
      <x:c r="E2" s="13" t="str">
        <x:v>Internal draft</x:v>
      </x:c>
      <x:c r="F2" s="13" t="str">
        <x:v>Study visa coding</x:v>
      </x:c>
      <x:c r="G2" s="13" t="str">
        <x:v>Needs official verification</x:v>
      </x:c>
      <x:c r="H2" s="13" t="str">
        <x:v>Dữ liệu do HTO cung cấp để chuẩn hóa</x:v>
      </x:c>
    </x:row>
    <x:row r="3">
      <x:c r="A3" s="13" t="str">
        <x:v>SRC-002</x:v>
      </x:c>
      <x:c r="B3" s="13" t="str">
        <x:v>Internal</x:v>
      </x:c>
      <x:c r="C3" s="13" t="str">
        <x:v>HTO_Visa_Master_System_Full(1).xlsx</x:v>
      </x:c>
      <x:c r="D3" s="13" t="str">
        <x:v>Uploaded file</x:v>
      </x:c>
      <x:c r="E3" s="13" t="str">
        <x:v>Internal master</x:v>
      </x:c>
      <x:c r="F3" s="13" t="str">
        <x:v>Structure/style/module mapping</x:v>
      </x:c>
      <x:c r="G3" s="13" t="str">
        <x:v>Reviewed</x:v>
      </x:c>
      <x:c r="H3" s="13" t="str">
        <x:v>Dùng làm mẫu cấu trúc</x:v>
      </x:c>
    </x:row>
    <x:row r="4">
      <x:c r="A4" s="13" t="str">
        <x:v>SRC-003</x:v>
      </x:c>
      <x:c r="B4" s="13" t="str">
        <x:v>Internal</x:v>
      </x:c>
      <x:c r="C4" s="13" t="str">
        <x:v>HTO_Visa_Price_Sync(1).xlsx</x:v>
      </x:c>
      <x:c r="D4" s="13" t="str">
        <x:v>Uploaded file</x:v>
      </x:c>
      <x:c r="E4" s="13" t="str">
        <x:v>Internal master</x:v>
      </x:c>
      <x:c r="F4" s="13" t="str">
        <x:v>Pricing/sync logic</x:v>
      </x:c>
      <x:c r="G4" s="13" t="str">
        <x:v>Reviewed</x:v>
      </x:c>
      <x:c r="H4" s="13" t="str">
        <x:v>Dùng làm mẫu đồng bộ giá</x:v>
      </x:c>
    </x:row>
    <x:row r="5">
      <x:c r="A5" s="13" t="str">
        <x:v>SRC-004</x:v>
      </x:c>
      <x:c r="B5" s="13" t="str">
        <x:v>Official</x:v>
      </x:c>
      <x:c r="C5" s="13" t="str">
        <x:v>Korea Visa Portal</x:v>
      </x:c>
      <x:c r="D5" s="13" t="str">
        <x:v>https://www.visa.go.kr/</x:v>
      </x:c>
      <x:c r="E5" s="13" t="str">
        <x:v>High</x:v>
      </x:c>
      <x:c r="F5" s="13" t="str">
        <x:v>Korea visa validation</x:v>
      </x:c>
      <x:c r="G5" s="13" t="str">
        <x:v>To verify</x:v>
      </x:c>
      <x:c r="H5" s="13" t="str">
        <x:v>Cần cập nhật bản mới khi áp dụng</x:v>
      </x:c>
    </x:row>
    <x:row r="6">
      <x:c r="A6" s="13" t="str">
        <x:v>SRC-005</x:v>
      </x:c>
      <x:c r="B6" s="13" t="str">
        <x:v>Official</x:v>
      </x:c>
      <x:c r="C6" s="13" t="str">
        <x:v>IRCC Canada</x:v>
      </x:c>
      <x:c r="D6" s="13" t="str">
        <x:v>https://www.canada.ca/en/immigration-refugees-citizenship.html</x:v>
      </x:c>
      <x:c r="E6" s="13" t="str">
        <x:v>High</x:v>
      </x:c>
      <x:c r="F6" s="13" t="str">
        <x:v>Canada study permit</x:v>
      </x:c>
      <x:c r="G6" s="13" t="str">
        <x:v>To verify</x:v>
      </x:c>
      <x:c r="H6" s="13" t="str">
        <x:v>Policy Canada thay đổi thường xuyên</x:v>
      </x:c>
    </x:row>
    <x:row r="7">
      <x:c r="A7" s="13" t="str">
        <x:v>SRC-006</x:v>
      </x:c>
      <x:c r="B7" s="13" t="str">
        <x:v>Official</x:v>
      </x:c>
      <x:c r="C7" s="13" t="str">
        <x:v>Australia DOHA</x:v>
      </x:c>
      <x:c r="D7" s="13" t="str">
        <x:v>https://immi.homeaffairs.gov.au/</x:v>
      </x:c>
      <x:c r="E7" s="13" t="str">
        <x:v>High</x:v>
      </x:c>
      <x:c r="F7" s="13" t="str">
        <x:v>Subclass 500/590</x:v>
      </x:c>
      <x:c r="G7" s="13" t="str">
        <x:v>To verify</x:v>
      </x:c>
      <x:c r="H7" s="13" t="str">
        <x:v>Cần kiểm chứng GS/GTE, tài chính</x:v>
      </x:c>
    </x:row>
    <x:row r="8">
      <x:c r="A8" s="13" t="str">
        <x:v>SRC-007</x:v>
      </x:c>
      <x:c r="B8" s="13" t="str">
        <x:v>Official</x:v>
      </x:c>
      <x:c r="C8" s="13" t="str">
        <x:v>UKVI Student visa</x:v>
      </x:c>
      <x:c r="D8" s="13" t="str">
        <x:v>https://www.gov.uk/student-visa</x:v>
      </x:c>
      <x:c r="E8" s="13" t="str">
        <x:v>High</x:v>
      </x:c>
      <x:c r="F8" s="13" t="str">
        <x:v>UK student visa</x:v>
      </x:c>
      <x:c r="G8" s="13" t="str">
        <x:v>To verify</x:v>
      </x:c>
      <x:c r="H8" s="13" t="str">
        <x:v>CAS/maintenance funds</x:v>
      </x:c>
    </x:row>
    <x:row r="9">
      <x:c r="A9" s="13" t="str">
        <x:v>SRC-008</x:v>
      </x:c>
      <x:c r="B9" s="13" t="str">
        <x:v>Official</x:v>
      </x:c>
      <x:c r="C9" s="13" t="str">
        <x:v>US CEAC</x:v>
      </x:c>
      <x:c r="D9" s="13" t="str">
        <x:v>https://ceac.state.gov/</x:v>
      </x:c>
      <x:c r="E9" s="13" t="str">
        <x:v>High</x:v>
      </x:c>
      <x:c r="F9" s="13" t="str">
        <x:v>DS-160</x:v>
      </x:c>
      <x:c r="G9" s="13" t="str">
        <x:v>To verify</x:v>
      </x:c>
      <x:c r="H9" s="13" t="str">
        <x:v>F/M/J visa forms</x:v>
      </x:c>
    </x:row>
    <x:row r="10">
      <x:c r="A10" s="13" t="str">
        <x:v>SRC-009</x:v>
      </x:c>
      <x:c r="B10" s="13" t="str">
        <x:v>Official</x:v>
      </x:c>
      <x:c r="C10" s="13" t="str">
        <x:v>Immigration New Zealand</x:v>
      </x:c>
      <x:c r="D10" s="13" t="str">
        <x:v>https://www.immigration.govt.nz/</x:v>
      </x:c>
      <x:c r="E10" s="13" t="str">
        <x:v>High</x:v>
      </x:c>
      <x:c r="F10" s="13" t="str">
        <x:v>NZ student visas</x:v>
      </x:c>
      <x:c r="G10" s="13" t="str">
        <x:v>To verify</x:v>
      </x:c>
      <x:c r="H10" s="13" t="str">
        <x:v>Fee paying/pathway</x:v>
      </x:c>
    </x:row>
    <x:row r="11">
      <x:c r="A11" s="13" t="str">
        <x:v>SRC-010</x:v>
      </x:c>
      <x:c r="B11" s="13" t="str">
        <x:v>Official</x:v>
      </x:c>
      <x:c r="C11" s="13" t="str">
        <x:v>German VIDEX</x:v>
      </x:c>
      <x:c r="D11" s="13" t="str">
        <x:v>https://videx.diplo.de/</x:v>
      </x:c>
      <x:c r="E11" s="13" t="str">
        <x:v>High</x:v>
      </x:c>
      <x:c r="F11" s="13" t="str">
        <x:v>Germany national visa</x:v>
      </x:c>
      <x:c r="G11" s="13" t="str">
        <x:v>To verify</x:v>
      </x:c>
      <x:c r="H11" s="13" t="str">
        <x:v>Studium/Berufsausbildung</x:v>
      </x:c>
    </x:row>
  </x:sheetData>
  <x:pageMargins left="0.7" right="0.7" top="0.75" bottom="0.75" header="0.3" footer="0.3"/>
  <x:tableParts count="1">
    <x:tablePart xmlns:r="http://schemas.openxmlformats.org/officeDocument/2006/relationships" r:id="R871aed92b70744a1"/>
  </x:tableParts>
</x:worksheet>
</file>

<file path=xl/worksheets/sheet1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s>
  <x:sheetData>
    <x:row r="1">
      <x:c r="A1" s="72" t="str">
        <x:v>Region</x:v>
      </x:c>
      <x:c r="B1" s="72" t="str">
        <x:v>Country Code</x:v>
      </x:c>
      <x:c r="C1" s="72" t="str">
        <x:v>Purpose</x:v>
      </x:c>
      <x:c r="D1" s="72" t="str">
        <x:v>Type</x:v>
      </x:c>
      <x:c r="E1" s="72" t="str">
        <x:v>Status</x:v>
      </x:c>
      <x:c r="F1" s="72" t="str">
        <x:v>Priority</x:v>
      </x:c>
      <x:c r="G1" s="72" t="str">
        <x:v>Risk Level</x:v>
      </x:c>
      <x:c r="H1" s="72" t="str">
        <x:v>CRM Stage</x:v>
      </x:c>
      <x:c r="I1" s="72" t="str">
        <x:v>Currency</x:v>
      </x:c>
      <x:c r="J1" s="13"/>
      <x:c r="K1" s="13"/>
      <x:c r="L1" s="13"/>
      <x:c r="M1" s="13"/>
      <x:c r="N1" s="13"/>
      <x:c r="O1" s="13"/>
      <x:c r="P1" s="13"/>
      <x:c r="Q1" s="13"/>
      <x:c r="R1" s="13"/>
      <x:c r="S1" s="13"/>
      <x:c r="T1" s="13"/>
      <x:c r="U1" s="13"/>
      <x:c r="V1" s="13"/>
      <x:c r="W1" s="13"/>
      <x:c r="X1" s="13"/>
      <x:c r="Y1" s="13"/>
      <x:c r="Z1" s="13"/>
    </x:row>
    <x:row r="2">
      <x:c r="A2" s="13" t="str">
        <x:v>Đông Á</x:v>
      </x:c>
      <x:c r="B2" s="13" t="str">
        <x:v>KR</x:v>
      </x:c>
      <x:c r="C2" s="13" t="str">
        <x:v>STUDY</x:v>
      </x:c>
      <x:c r="D2" s="13" t="str">
        <x:v>LANG</x:v>
      </x:c>
      <x:c r="E2" s="13" t="str">
        <x:v>Active</x:v>
      </x:c>
      <x:c r="F2" s="13" t="str">
        <x:v>High</x:v>
      </x:c>
      <x:c r="G2" s="13" t="str">
        <x:v>Low</x:v>
      </x:c>
      <x:c r="H2" s="13" t="str">
        <x:v>Lead</x:v>
      </x:c>
      <x:c r="I2" s="13" t="str">
        <x:v>VND</x:v>
      </x:c>
    </x:row>
    <x:row r="3">
      <x:c r="A3" s="13" t="str">
        <x:v>Châu Âu</x:v>
      </x:c>
      <x:c r="B3" s="13" t="str">
        <x:v>JP</x:v>
      </x:c>
      <x:c r="C3" s="13" t="str">
        <x:v>WORK</x:v>
      </x:c>
      <x:c r="D3" s="13" t="str">
        <x:v>VET</x:v>
      </x:c>
      <x:c r="E3" s="13" t="str">
        <x:v>Draft</x:v>
      </x:c>
      <x:c r="F3" s="13" t="str">
        <x:v>Medium</x:v>
      </x:c>
      <x:c r="G3" s="13" t="str">
        <x:v>Medium</x:v>
      </x:c>
      <x:c r="H3" s="13" t="str">
        <x:v>Qualified</x:v>
      </x:c>
      <x:c r="I3" s="13" t="str">
        <x:v>USD</x:v>
      </x:c>
    </x:row>
    <x:row r="4">
      <x:c r="A4" s="13" t="str">
        <x:v>Anh ngữ</x:v>
      </x:c>
      <x:c r="B4" s="13" t="str">
        <x:v>CN</x:v>
      </x:c>
      <x:c r="C4" s="13" t="str">
        <x:v>TOUR</x:v>
      </x:c>
      <x:c r="D4" s="13" t="str">
        <x:v>UNI</x:v>
      </x:c>
      <x:c r="E4" s="13" t="str">
        <x:v>Review</x:v>
      </x:c>
      <x:c r="F4" s="13" t="str">
        <x:v>Low</x:v>
      </x:c>
      <x:c r="G4" s="13" t="str">
        <x:v>High</x:v>
      </x:c>
      <x:c r="H4" s="13" t="str">
        <x:v>Counselling</x:v>
      </x:c>
      <x:c r="I4" s="13" t="str">
        <x:v>EUR</x:v>
      </x:c>
    </x:row>
    <x:row r="5">
      <x:c r="A5" s="13" t="str">
        <x:v>Schengen</x:v>
      </x:c>
      <x:c r="B5" s="13" t="str">
        <x:v>TW</x:v>
      </x:c>
      <x:c r="C5" s="13" t="str">
        <x:v>VISIT</x:v>
      </x:c>
      <x:c r="D5" s="13" t="str">
        <x:v>POST</x:v>
      </x:c>
      <x:c r="E5" s="13" t="str">
        <x:v>Inactive</x:v>
      </x:c>
      <x:c r="F5" s="13" t="str"/>
      <x:c r="G5" s="13" t="str">
        <x:v>Very High</x:v>
      </x:c>
      <x:c r="H5" s="13" t="str">
        <x:v>Offer/LOA</x:v>
      </x:c>
      <x:c r="I5" s="13" t="str">
        <x:v>KRW</x:v>
      </x:c>
    </x:row>
    <x:row r="6">
      <x:c r="A6" s="13" t="str"/>
      <x:c r="B6" s="13" t="str">
        <x:v>DE</x:v>
      </x:c>
      <x:c r="C6" s="13" t="str"/>
      <x:c r="D6" s="13" t="str">
        <x:v>EXCH</x:v>
      </x:c>
      <x:c r="E6" s="13" t="str"/>
      <x:c r="F6" s="13" t="str"/>
      <x:c r="G6" s="13" t="str"/>
      <x:c r="H6" s="13" t="str">
        <x:v>Deposit</x:v>
      </x:c>
      <x:c r="I6" s="13" t="str">
        <x:v>CAD</x:v>
      </x:c>
    </x:row>
    <x:row r="7">
      <x:c r="A7" s="13" t="str"/>
      <x:c r="B7" s="13" t="str">
        <x:v>SCH</x:v>
      </x:c>
      <x:c r="C7" s="13" t="str"/>
      <x:c r="D7" s="13" t="str">
        <x:v>SOP</x:v>
      </x:c>
      <x:c r="E7" s="13" t="str"/>
      <x:c r="F7" s="13" t="str"/>
      <x:c r="G7" s="13" t="str"/>
      <x:c r="H7" s="13" t="str">
        <x:v>Visa Prepare</x:v>
      </x:c>
      <x:c r="I7" s="13" t="str">
        <x:v>AUD</x:v>
      </x:c>
    </x:row>
    <x:row r="8">
      <x:c r="A8" s="13" t="str"/>
      <x:c r="B8" s="13" t="str">
        <x:v>UK</x:v>
      </x:c>
      <x:c r="C8" s="13" t="str"/>
      <x:c r="D8" s="13" t="str">
        <x:v>CHILD</x:v>
      </x:c>
      <x:c r="E8" s="13" t="str"/>
      <x:c r="F8" s="13" t="str"/>
      <x:c r="G8" s="13" t="str"/>
      <x:c r="H8" s="13" t="str">
        <x:v>Biometrics/Medical</x:v>
      </x:c>
      <x:c r="I8" s="13" t="str">
        <x:v>GBP</x:v>
      </x:c>
    </x:row>
    <x:row r="9">
      <x:c r="A9" s="13" t="str"/>
      <x:c r="B9" s="13" t="str">
        <x:v>US</x:v>
      </x:c>
      <x:c r="C9" s="13" t="str"/>
      <x:c r="D9" s="13" t="str">
        <x:v>GD</x:v>
      </x:c>
      <x:c r="E9" s="13" t="str"/>
      <x:c r="F9" s="13" t="str"/>
      <x:c r="G9" s="13" t="str"/>
      <x:c r="H9" s="13" t="str">
        <x:v>Submitted</x:v>
      </x:c>
      <x:c r="I9" s="13" t="str">
        <x:v>JPY</x:v>
      </x:c>
    </x:row>
    <x:row r="10">
      <x:c r="A10" s="13" t="str"/>
      <x:c r="B10" s="13" t="str">
        <x:v>AU</x:v>
      </x:c>
      <x:c r="C10" s="13" t="str"/>
      <x:c r="D10" s="13" t="str">
        <x:v>SHORT</x:v>
      </x:c>
      <x:c r="E10" s="13" t="str"/>
      <x:c r="F10" s="13" t="str"/>
      <x:c r="G10" s="13" t="str"/>
      <x:c r="H10" s="13" t="str">
        <x:v>Result</x:v>
      </x:c>
      <x:c r="I10" s="13" t="str">
        <x:v>CNY</x:v>
      </x:c>
    </x:row>
    <x:row r="11">
      <x:c r="A11" s="13" t="str"/>
      <x:c r="B11" s="13" t="str">
        <x:v>CA</x:v>
      </x:c>
      <x:c r="C11" s="13" t="str"/>
      <x:c r="D11" s="13" t="str">
        <x:v>PERMIT</x:v>
      </x:c>
      <x:c r="E11" s="13" t="str"/>
      <x:c r="F11" s="13" t="str"/>
      <x:c r="G11" s="13" t="str"/>
      <x:c r="H11" s="13" t="str">
        <x:v>Arrival</x:v>
      </x:c>
      <x:c r="I11" s="13" t="str">
        <x:v>TWD</x:v>
      </x:c>
    </x:row>
    <x:row r="12">
      <x:c r="A12" s="13" t="str"/>
      <x:c r="B12" s="13" t="str">
        <x:v>NZ</x:v>
      </x:c>
      <x:c r="C12" s="13" t="str"/>
      <x:c r="D12" s="13" t="str">
        <x:v>STUDENT</x:v>
      </x:c>
      <x:c r="E12" s="13" t="str"/>
      <x:c r="F12" s="13" t="str"/>
      <x:c r="G12" s="13" t="str"/>
      <x:c r="H12" s="13" t="str">
        <x:v>Alumni</x:v>
      </x:c>
      <x:c r="I12" s="13" t="str"/>
    </x:row>
  </x:sheetData>
  <x:pageMargins left="0.7" right="0.7" top="0.75" bottom="0.75" header="0.3" footer="0.3"/>
</x:worksheet>
</file>